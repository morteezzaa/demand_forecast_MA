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https://ittuberlin-my.sharepoint.com/personal/17281442811011116638102512442_msopseudo_tu-berlin_de/Documents/Dokumente/2. WiIng/4. Masterarbeit SS26/Code/Results/"/>
    </mc:Choice>
  </mc:AlternateContent>
  <xr:revisionPtr revIDLastSave="483" documentId="13_ncr:1_{D3A18EBB-32A8-EA4D-8710-6AFC74E84898}" xr6:coauthVersionLast="47" xr6:coauthVersionMax="47" xr10:uidLastSave="{6AFC8D6B-377E-B74F-B8F0-51005F0E6B22}"/>
  <bookViews>
    <workbookView xWindow="0" yWindow="660" windowWidth="29040" windowHeight="15720" tabRatio="500" activeTab="2" xr2:uid="{00000000-000D-0000-FFFF-FFFF00000000}"/>
  </bookViews>
  <sheets>
    <sheet name="Documentation" sheetId="4" r:id="rId1"/>
    <sheet name="ICIS" sheetId="1" r:id="rId2"/>
    <sheet name="Historical_2010_2024" sheetId="5" r:id="rId3"/>
    <sheet name="ds_model_results" sheetId="2" r:id="rId4"/>
    <sheet name="input_EnBW Model 2026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4" i="5" l="1"/>
  <c r="J14" i="5" s="1"/>
  <c r="K14" i="5" s="1"/>
  <c r="L14" i="5" s="1"/>
  <c r="M14" i="5" s="1"/>
  <c r="N14" i="5" s="1"/>
  <c r="O14" i="5" s="1"/>
  <c r="I13" i="5"/>
  <c r="J13" i="5" s="1"/>
  <c r="K13" i="5" s="1"/>
  <c r="L13" i="5" s="1"/>
  <c r="M13" i="5" s="1"/>
  <c r="N13" i="5" s="1"/>
  <c r="O13" i="5" s="1"/>
  <c r="Q15" i="5"/>
  <c r="I15" i="5" s="1"/>
  <c r="J15" i="5" s="1"/>
  <c r="K15" i="5" s="1"/>
  <c r="L15" i="5" s="1"/>
  <c r="M15" i="5" s="1"/>
  <c r="N15" i="5" s="1"/>
  <c r="O15" i="5" s="1"/>
  <c r="Q16" i="5"/>
  <c r="I16" i="5" s="1"/>
  <c r="J16" i="5" s="1"/>
  <c r="K16" i="5" s="1"/>
  <c r="L16" i="5" s="1"/>
  <c r="M16" i="5" s="1"/>
  <c r="N16" i="5" s="1"/>
  <c r="O16" i="5" s="1"/>
  <c r="Q17" i="5"/>
  <c r="I17" i="5" s="1"/>
  <c r="J17" i="5" s="1"/>
  <c r="K17" i="5" s="1"/>
  <c r="L17" i="5" s="1"/>
  <c r="M17" i="5" s="1"/>
  <c r="N17" i="5" s="1"/>
  <c r="O17" i="5" s="1"/>
  <c r="Q14" i="5"/>
  <c r="Q13" i="5"/>
  <c r="Q12" i="5"/>
  <c r="N12" i="5" s="1"/>
  <c r="O12" i="5" s="1"/>
  <c r="Q11" i="5"/>
  <c r="I11" i="5" s="1"/>
  <c r="Q10" i="5"/>
  <c r="K10" i="5" s="1"/>
  <c r="J10" i="5" s="1"/>
  <c r="I10" i="5" s="1"/>
  <c r="J9" i="5"/>
  <c r="K9" i="5" s="1"/>
  <c r="L9" i="5" s="1"/>
  <c r="M9" i="5" s="1"/>
  <c r="N9" i="5" s="1"/>
  <c r="O9" i="5" s="1"/>
  <c r="I9" i="5"/>
  <c r="Q9" i="5"/>
  <c r="Q8" i="5"/>
  <c r="I8" i="5" s="1"/>
  <c r="J8" i="5" s="1"/>
  <c r="K8" i="5" s="1"/>
  <c r="L8" i="5" s="1"/>
  <c r="M8" i="5" s="1"/>
  <c r="N8" i="5" s="1"/>
  <c r="O8" i="5" s="1"/>
  <c r="Q7" i="5"/>
  <c r="H7" i="5" s="1"/>
  <c r="J6" i="5"/>
  <c r="I6" i="5" s="1"/>
  <c r="L6" i="5"/>
  <c r="M6" i="5" s="1"/>
  <c r="N6" i="5" s="1"/>
  <c r="O6" i="5" s="1"/>
  <c r="Q6" i="5"/>
  <c r="Q5" i="5"/>
  <c r="K5" i="5" s="1"/>
  <c r="J5" i="5" s="1"/>
  <c r="I5" i="5" s="1"/>
  <c r="H5" i="5" s="1"/>
  <c r="G5" i="5" s="1"/>
  <c r="F5" i="5" s="1"/>
  <c r="E5" i="5" s="1"/>
  <c r="D5" i="5" s="1"/>
  <c r="C5" i="5" s="1"/>
  <c r="B5" i="5" s="1"/>
  <c r="Q4" i="5"/>
  <c r="I4" i="5" s="1"/>
  <c r="J4" i="5" s="1"/>
  <c r="K4" i="5" s="1"/>
  <c r="L4" i="5" s="1"/>
  <c r="M4" i="5" s="1"/>
  <c r="N4" i="5" s="1"/>
  <c r="O4" i="5" s="1"/>
  <c r="Q3" i="5"/>
  <c r="M3" i="5" s="1"/>
  <c r="N3" i="5" s="1"/>
  <c r="O3" i="5" s="1"/>
  <c r="Q2" i="5"/>
  <c r="I2" i="5" s="1"/>
  <c r="H2" i="5" s="1"/>
  <c r="G2" i="5" s="1"/>
  <c r="F2" i="5" s="1"/>
  <c r="E2" i="5" s="1"/>
  <c r="D2" i="5" s="1"/>
  <c r="C2" i="5" s="1"/>
  <c r="B2" i="5" s="1"/>
  <c r="N6" i="1"/>
  <c r="N31" i="1"/>
  <c r="D2" i="2"/>
  <c r="E2" i="2"/>
  <c r="F2" i="2"/>
  <c r="G2" i="2"/>
  <c r="H2" i="2"/>
  <c r="I2" i="2"/>
  <c r="J2" i="2"/>
  <c r="K2" i="2"/>
  <c r="L2" i="2"/>
  <c r="M2" i="2"/>
  <c r="N2" i="2"/>
  <c r="O2" i="2"/>
  <c r="O27" i="2" s="1"/>
  <c r="P2" i="2"/>
  <c r="P27" i="2" s="1"/>
  <c r="Q2" i="2"/>
  <c r="Q27" i="2" s="1"/>
  <c r="R2" i="2"/>
  <c r="R27" i="2" s="1"/>
  <c r="S2" i="2"/>
  <c r="S27" i="2" s="1"/>
  <c r="T2" i="2"/>
  <c r="T27" i="2" s="1"/>
  <c r="U2" i="2"/>
  <c r="U27" i="2" s="1"/>
  <c r="V2" i="2"/>
  <c r="V27" i="2" s="1"/>
  <c r="W2" i="2"/>
  <c r="W27" i="2" s="1"/>
  <c r="X2" i="2"/>
  <c r="X27" i="2" s="1"/>
  <c r="Y2" i="2"/>
  <c r="Y27" i="2" s="1"/>
  <c r="Z2" i="2"/>
  <c r="Z27" i="2" s="1"/>
  <c r="AA2" i="2"/>
  <c r="AA27" i="2" s="1"/>
  <c r="AB2" i="2"/>
  <c r="AB27" i="2" s="1"/>
  <c r="AC2" i="2"/>
  <c r="AC27" i="2" s="1"/>
  <c r="AD2" i="2"/>
  <c r="AD27" i="2" s="1"/>
  <c r="AE2" i="2"/>
  <c r="AE27" i="2" s="1"/>
  <c r="AF2" i="2"/>
  <c r="AF27" i="2" s="1"/>
  <c r="AG2" i="2"/>
  <c r="AG27" i="2" s="1"/>
  <c r="AH2" i="2"/>
  <c r="AH27" i="2" s="1"/>
  <c r="AI2" i="2"/>
  <c r="AI27" i="2" s="1"/>
  <c r="AJ2" i="2"/>
  <c r="AJ27" i="2" s="1"/>
  <c r="AK2" i="2"/>
  <c r="AK27" i="2" s="1"/>
  <c r="AL2" i="2"/>
  <c r="AL27" i="2" s="1"/>
  <c r="AM2" i="2"/>
  <c r="AM27" i="2" s="1"/>
  <c r="C2" i="2"/>
  <c r="F105" i="2"/>
  <c r="G105" i="2"/>
  <c r="H105" i="2"/>
  <c r="I105" i="2"/>
  <c r="J105" i="2"/>
  <c r="K105" i="2"/>
  <c r="L105" i="2"/>
  <c r="M105" i="2"/>
  <c r="N105" i="2"/>
  <c r="E105" i="2"/>
  <c r="F79" i="2"/>
  <c r="G79" i="2"/>
  <c r="H79" i="2"/>
  <c r="I79" i="2"/>
  <c r="J79" i="2"/>
  <c r="K79" i="2"/>
  <c r="L79" i="2"/>
  <c r="M79" i="2"/>
  <c r="N79" i="2"/>
  <c r="E79" i="2"/>
  <c r="F53" i="2"/>
  <c r="G53" i="2"/>
  <c r="H53" i="2"/>
  <c r="I53" i="2"/>
  <c r="J53" i="2"/>
  <c r="K53" i="2"/>
  <c r="L53" i="2"/>
  <c r="M53" i="2"/>
  <c r="N53" i="2"/>
  <c r="O53" i="2" s="1"/>
  <c r="E53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O105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O79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E83" i="2"/>
  <c r="F83" i="2"/>
  <c r="G83" i="2"/>
  <c r="H83" i="2"/>
  <c r="I83" i="2"/>
  <c r="J83" i="2"/>
  <c r="K83" i="2"/>
  <c r="L83" i="2"/>
  <c r="M83" i="2"/>
  <c r="N83" i="2"/>
  <c r="E84" i="2"/>
  <c r="F84" i="2"/>
  <c r="G84" i="2"/>
  <c r="H84" i="2"/>
  <c r="I84" i="2"/>
  <c r="J84" i="2"/>
  <c r="K84" i="2"/>
  <c r="L84" i="2"/>
  <c r="M84" i="2"/>
  <c r="N84" i="2"/>
  <c r="E85" i="2"/>
  <c r="F85" i="2"/>
  <c r="G85" i="2"/>
  <c r="H85" i="2"/>
  <c r="I85" i="2"/>
  <c r="J85" i="2"/>
  <c r="K85" i="2"/>
  <c r="L85" i="2"/>
  <c r="M85" i="2"/>
  <c r="N85" i="2"/>
  <c r="E86" i="2"/>
  <c r="F86" i="2"/>
  <c r="G86" i="2"/>
  <c r="H86" i="2"/>
  <c r="I86" i="2"/>
  <c r="J86" i="2"/>
  <c r="K86" i="2"/>
  <c r="L86" i="2"/>
  <c r="M86" i="2"/>
  <c r="N86" i="2"/>
  <c r="E87" i="2"/>
  <c r="F87" i="2"/>
  <c r="G87" i="2"/>
  <c r="H87" i="2"/>
  <c r="I87" i="2"/>
  <c r="J87" i="2"/>
  <c r="K87" i="2"/>
  <c r="L87" i="2"/>
  <c r="M87" i="2"/>
  <c r="N87" i="2"/>
  <c r="E88" i="2"/>
  <c r="F88" i="2"/>
  <c r="G88" i="2"/>
  <c r="H88" i="2"/>
  <c r="I88" i="2"/>
  <c r="J88" i="2"/>
  <c r="K88" i="2"/>
  <c r="L88" i="2"/>
  <c r="M88" i="2"/>
  <c r="N88" i="2"/>
  <c r="E89" i="2"/>
  <c r="F89" i="2"/>
  <c r="G89" i="2"/>
  <c r="H89" i="2"/>
  <c r="I89" i="2"/>
  <c r="J89" i="2"/>
  <c r="K89" i="2"/>
  <c r="L89" i="2"/>
  <c r="M89" i="2"/>
  <c r="N89" i="2"/>
  <c r="E90" i="2"/>
  <c r="F90" i="2"/>
  <c r="G90" i="2"/>
  <c r="H90" i="2"/>
  <c r="I90" i="2"/>
  <c r="J90" i="2"/>
  <c r="K90" i="2"/>
  <c r="L90" i="2"/>
  <c r="M90" i="2"/>
  <c r="N90" i="2"/>
  <c r="E91" i="2"/>
  <c r="F91" i="2"/>
  <c r="G91" i="2"/>
  <c r="H91" i="2"/>
  <c r="I91" i="2"/>
  <c r="J91" i="2"/>
  <c r="K91" i="2"/>
  <c r="L91" i="2"/>
  <c r="M91" i="2"/>
  <c r="N91" i="2"/>
  <c r="E92" i="2"/>
  <c r="F92" i="2"/>
  <c r="G92" i="2"/>
  <c r="H92" i="2"/>
  <c r="I92" i="2"/>
  <c r="J92" i="2"/>
  <c r="K92" i="2"/>
  <c r="L92" i="2"/>
  <c r="M92" i="2"/>
  <c r="N92" i="2"/>
  <c r="E93" i="2"/>
  <c r="F93" i="2"/>
  <c r="G93" i="2"/>
  <c r="H93" i="2"/>
  <c r="I93" i="2"/>
  <c r="J93" i="2"/>
  <c r="E70" i="2"/>
  <c r="F70" i="2"/>
  <c r="G70" i="2"/>
  <c r="H70" i="2"/>
  <c r="I70" i="2"/>
  <c r="J70" i="2"/>
  <c r="K70" i="2"/>
  <c r="L70" i="2"/>
  <c r="M70" i="2"/>
  <c r="N70" i="2"/>
  <c r="E71" i="2"/>
  <c r="F71" i="2"/>
  <c r="G71" i="2"/>
  <c r="H71" i="2"/>
  <c r="I71" i="2"/>
  <c r="J71" i="2"/>
  <c r="K71" i="2"/>
  <c r="L71" i="2"/>
  <c r="M71" i="2"/>
  <c r="N71" i="2"/>
  <c r="E72" i="2"/>
  <c r="F72" i="2"/>
  <c r="G72" i="2"/>
  <c r="H72" i="2"/>
  <c r="I72" i="2"/>
  <c r="J72" i="2"/>
  <c r="K72" i="2"/>
  <c r="L72" i="2"/>
  <c r="M72" i="2"/>
  <c r="N72" i="2"/>
  <c r="E73" i="2"/>
  <c r="F73" i="2"/>
  <c r="G73" i="2"/>
  <c r="H73" i="2"/>
  <c r="I73" i="2"/>
  <c r="J73" i="2"/>
  <c r="K73" i="2"/>
  <c r="L73" i="2"/>
  <c r="M73" i="2"/>
  <c r="N73" i="2"/>
  <c r="E74" i="2"/>
  <c r="F74" i="2"/>
  <c r="G74" i="2"/>
  <c r="H74" i="2"/>
  <c r="I74" i="2"/>
  <c r="J74" i="2"/>
  <c r="K74" i="2"/>
  <c r="L74" i="2"/>
  <c r="M74" i="2"/>
  <c r="N74" i="2"/>
  <c r="E75" i="2"/>
  <c r="F75" i="2"/>
  <c r="G75" i="2"/>
  <c r="H75" i="2"/>
  <c r="I75" i="2"/>
  <c r="J75" i="2"/>
  <c r="K75" i="2"/>
  <c r="L75" i="2"/>
  <c r="M75" i="2"/>
  <c r="N75" i="2"/>
  <c r="E76" i="2"/>
  <c r="F76" i="2"/>
  <c r="G76" i="2"/>
  <c r="H76" i="2"/>
  <c r="I76" i="2"/>
  <c r="J76" i="2"/>
  <c r="K76" i="2"/>
  <c r="L76" i="2"/>
  <c r="M76" i="2"/>
  <c r="N76" i="2"/>
  <c r="E77" i="2"/>
  <c r="F77" i="2"/>
  <c r="G77" i="2"/>
  <c r="H77" i="2"/>
  <c r="I77" i="2"/>
  <c r="J77" i="2"/>
  <c r="K77" i="2"/>
  <c r="L77" i="2"/>
  <c r="M77" i="2"/>
  <c r="N77" i="2"/>
  <c r="E78" i="2"/>
  <c r="F78" i="2"/>
  <c r="G78" i="2"/>
  <c r="H78" i="2"/>
  <c r="I78" i="2"/>
  <c r="J78" i="2"/>
  <c r="K78" i="2"/>
  <c r="L78" i="2"/>
  <c r="M78" i="2"/>
  <c r="N78" i="2"/>
  <c r="F55" i="2"/>
  <c r="G55" i="2"/>
  <c r="H55" i="2"/>
  <c r="I55" i="2"/>
  <c r="J55" i="2"/>
  <c r="K55" i="2"/>
  <c r="L55" i="2"/>
  <c r="M55" i="2"/>
  <c r="N55" i="2"/>
  <c r="E55" i="2"/>
  <c r="F30" i="2"/>
  <c r="G30" i="2"/>
  <c r="H30" i="2"/>
  <c r="I30" i="2"/>
  <c r="J30" i="2"/>
  <c r="K30" i="2"/>
  <c r="L30" i="2"/>
  <c r="M30" i="2"/>
  <c r="N30" i="2"/>
  <c r="F29" i="2"/>
  <c r="G29" i="2"/>
  <c r="H29" i="2"/>
  <c r="I29" i="2"/>
  <c r="J29" i="2"/>
  <c r="K29" i="2"/>
  <c r="L29" i="2"/>
  <c r="M29" i="2"/>
  <c r="N29" i="2"/>
  <c r="E29" i="2"/>
  <c r="E32" i="2"/>
  <c r="F32" i="2"/>
  <c r="G32" i="2"/>
  <c r="H32" i="2"/>
  <c r="I32" i="2"/>
  <c r="J32" i="2"/>
  <c r="K32" i="2"/>
  <c r="L32" i="2"/>
  <c r="M32" i="2"/>
  <c r="N32" i="2"/>
  <c r="E33" i="2"/>
  <c r="F33" i="2"/>
  <c r="G33" i="2"/>
  <c r="H33" i="2"/>
  <c r="I33" i="2"/>
  <c r="J33" i="2"/>
  <c r="K33" i="2"/>
  <c r="L33" i="2"/>
  <c r="M33" i="2"/>
  <c r="N33" i="2"/>
  <c r="E34" i="2"/>
  <c r="F34" i="2"/>
  <c r="G34" i="2"/>
  <c r="H34" i="2"/>
  <c r="I34" i="2"/>
  <c r="J34" i="2"/>
  <c r="K34" i="2"/>
  <c r="L34" i="2"/>
  <c r="M34" i="2"/>
  <c r="N34" i="2"/>
  <c r="E35" i="2"/>
  <c r="F35" i="2"/>
  <c r="G35" i="2"/>
  <c r="H35" i="2"/>
  <c r="I35" i="2"/>
  <c r="J35" i="2"/>
  <c r="K35" i="2"/>
  <c r="L35" i="2"/>
  <c r="M35" i="2"/>
  <c r="N35" i="2"/>
  <c r="E36" i="2"/>
  <c r="F36" i="2"/>
  <c r="G36" i="2"/>
  <c r="H36" i="2"/>
  <c r="I36" i="2"/>
  <c r="J36" i="2"/>
  <c r="K36" i="2"/>
  <c r="L36" i="2"/>
  <c r="M36" i="2"/>
  <c r="N36" i="2"/>
  <c r="E37" i="2"/>
  <c r="F37" i="2"/>
  <c r="G37" i="2"/>
  <c r="H37" i="2"/>
  <c r="I37" i="2"/>
  <c r="J37" i="2"/>
  <c r="K37" i="2"/>
  <c r="L37" i="2"/>
  <c r="M37" i="2"/>
  <c r="N37" i="2"/>
  <c r="E38" i="2"/>
  <c r="F38" i="2"/>
  <c r="G38" i="2"/>
  <c r="H38" i="2"/>
  <c r="I38" i="2"/>
  <c r="J38" i="2"/>
  <c r="K38" i="2"/>
  <c r="L38" i="2"/>
  <c r="M38" i="2"/>
  <c r="N38" i="2"/>
  <c r="E39" i="2"/>
  <c r="F39" i="2"/>
  <c r="G39" i="2"/>
  <c r="H39" i="2"/>
  <c r="I39" i="2"/>
  <c r="J39" i="2"/>
  <c r="K39" i="2"/>
  <c r="L39" i="2"/>
  <c r="M39" i="2"/>
  <c r="N39" i="2"/>
  <c r="E40" i="2"/>
  <c r="F40" i="2"/>
  <c r="G40" i="2"/>
  <c r="H40" i="2"/>
  <c r="I40" i="2"/>
  <c r="J40" i="2"/>
  <c r="K40" i="2"/>
  <c r="L40" i="2"/>
  <c r="M40" i="2"/>
  <c r="N40" i="2"/>
  <c r="E41" i="2"/>
  <c r="F41" i="2"/>
  <c r="G41" i="2"/>
  <c r="H41" i="2"/>
  <c r="I41" i="2"/>
  <c r="J41" i="2"/>
  <c r="K41" i="2"/>
  <c r="L41" i="2"/>
  <c r="M41" i="2"/>
  <c r="N41" i="2"/>
  <c r="E42" i="2"/>
  <c r="F42" i="2"/>
  <c r="G42" i="2"/>
  <c r="H42" i="2"/>
  <c r="I42" i="2"/>
  <c r="J42" i="2"/>
  <c r="K42" i="2"/>
  <c r="L42" i="2"/>
  <c r="M42" i="2"/>
  <c r="N42" i="2"/>
  <c r="E43" i="2"/>
  <c r="F43" i="2"/>
  <c r="G43" i="2"/>
  <c r="H43" i="2"/>
  <c r="I43" i="2"/>
  <c r="J43" i="2"/>
  <c r="K43" i="2"/>
  <c r="L43" i="2"/>
  <c r="M43" i="2"/>
  <c r="N43" i="2"/>
  <c r="E44" i="2"/>
  <c r="F44" i="2"/>
  <c r="G44" i="2"/>
  <c r="H44" i="2"/>
  <c r="I44" i="2"/>
  <c r="J44" i="2"/>
  <c r="K44" i="2"/>
  <c r="L44" i="2"/>
  <c r="M44" i="2"/>
  <c r="N44" i="2"/>
  <c r="E45" i="2"/>
  <c r="F45" i="2"/>
  <c r="G45" i="2"/>
  <c r="H45" i="2"/>
  <c r="I45" i="2"/>
  <c r="J45" i="2"/>
  <c r="K45" i="2"/>
  <c r="L45" i="2"/>
  <c r="M45" i="2"/>
  <c r="N45" i="2"/>
  <c r="E46" i="2"/>
  <c r="F46" i="2"/>
  <c r="G46" i="2"/>
  <c r="H46" i="2"/>
  <c r="I46" i="2"/>
  <c r="J46" i="2"/>
  <c r="K46" i="2"/>
  <c r="L46" i="2"/>
  <c r="M46" i="2"/>
  <c r="N46" i="2"/>
  <c r="E47" i="2"/>
  <c r="F47" i="2"/>
  <c r="G47" i="2"/>
  <c r="H47" i="2"/>
  <c r="I47" i="2"/>
  <c r="J47" i="2"/>
  <c r="K47" i="2"/>
  <c r="L47" i="2"/>
  <c r="M47" i="2"/>
  <c r="N47" i="2"/>
  <c r="E48" i="2"/>
  <c r="F48" i="2"/>
  <c r="G48" i="2"/>
  <c r="H48" i="2"/>
  <c r="I48" i="2"/>
  <c r="J48" i="2"/>
  <c r="K48" i="2"/>
  <c r="L48" i="2"/>
  <c r="M48" i="2"/>
  <c r="N48" i="2"/>
  <c r="E49" i="2"/>
  <c r="F49" i="2"/>
  <c r="G49" i="2"/>
  <c r="H49" i="2"/>
  <c r="I49" i="2"/>
  <c r="J49" i="2"/>
  <c r="K49" i="2"/>
  <c r="L49" i="2"/>
  <c r="M49" i="2"/>
  <c r="N49" i="2"/>
  <c r="E50" i="2"/>
  <c r="F50" i="2"/>
  <c r="G50" i="2"/>
  <c r="H50" i="2"/>
  <c r="I50" i="2"/>
  <c r="J50" i="2"/>
  <c r="K50" i="2"/>
  <c r="L50" i="2"/>
  <c r="M50" i="2"/>
  <c r="N50" i="2"/>
  <c r="E51" i="2"/>
  <c r="F51" i="2"/>
  <c r="G51" i="2"/>
  <c r="H51" i="2"/>
  <c r="I51" i="2"/>
  <c r="J51" i="2"/>
  <c r="K51" i="2"/>
  <c r="L51" i="2"/>
  <c r="M51" i="2"/>
  <c r="N51" i="2"/>
  <c r="F31" i="2"/>
  <c r="G31" i="2"/>
  <c r="H31" i="2"/>
  <c r="I31" i="2"/>
  <c r="J31" i="2"/>
  <c r="K31" i="2"/>
  <c r="L31" i="2"/>
  <c r="M31" i="2"/>
  <c r="N31" i="2"/>
  <c r="F52" i="2"/>
  <c r="G52" i="2"/>
  <c r="H52" i="2"/>
  <c r="I52" i="2"/>
  <c r="J52" i="2"/>
  <c r="K52" i="2"/>
  <c r="L52" i="2"/>
  <c r="M52" i="2"/>
  <c r="N52" i="2"/>
  <c r="E52" i="2"/>
  <c r="E31" i="2"/>
  <c r="E30" i="2"/>
  <c r="O26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P26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4" i="2"/>
  <c r="O3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H80" i="2"/>
  <c r="C80" i="2"/>
  <c r="D80" i="2"/>
  <c r="E80" i="2"/>
  <c r="F80" i="2"/>
  <c r="G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M54" i="2"/>
  <c r="AM28" i="2"/>
  <c r="C37" i="3"/>
  <c r="D36" i="3"/>
  <c r="E36" i="3"/>
  <c r="F36" i="3"/>
  <c r="G36" i="3"/>
  <c r="H36" i="3"/>
  <c r="I36" i="3"/>
  <c r="J36" i="3"/>
  <c r="K36" i="3"/>
  <c r="L36" i="3"/>
  <c r="M36" i="3"/>
  <c r="N36" i="3"/>
  <c r="C36" i="3"/>
  <c r="C34" i="3"/>
  <c r="D33" i="3"/>
  <c r="E33" i="3"/>
  <c r="F33" i="3"/>
  <c r="G33" i="3"/>
  <c r="H33" i="3"/>
  <c r="I33" i="3"/>
  <c r="J33" i="3"/>
  <c r="K33" i="3"/>
  <c r="L33" i="3"/>
  <c r="M33" i="3"/>
  <c r="N33" i="3"/>
  <c r="C33" i="3"/>
  <c r="C31" i="3"/>
  <c r="D30" i="3"/>
  <c r="E30" i="3"/>
  <c r="F30" i="3"/>
  <c r="G30" i="3"/>
  <c r="H30" i="3"/>
  <c r="I30" i="3"/>
  <c r="J30" i="3"/>
  <c r="K30" i="3"/>
  <c r="L30" i="3"/>
  <c r="M30" i="3"/>
  <c r="N30" i="3"/>
  <c r="C30" i="3"/>
  <c r="C28" i="3"/>
  <c r="D27" i="3"/>
  <c r="E27" i="3"/>
  <c r="F27" i="3"/>
  <c r="G27" i="3"/>
  <c r="H27" i="3"/>
  <c r="I27" i="3"/>
  <c r="J27" i="3"/>
  <c r="K27" i="3"/>
  <c r="L27" i="3"/>
  <c r="M27" i="3"/>
  <c r="N27" i="3"/>
  <c r="C27" i="3"/>
  <c r="M32" i="1"/>
  <c r="L32" i="1"/>
  <c r="K32" i="1"/>
  <c r="J32" i="1"/>
  <c r="I32" i="1"/>
  <c r="H32" i="1"/>
  <c r="G32" i="1"/>
  <c r="F32" i="1"/>
  <c r="E32" i="1"/>
  <c r="D32" i="1"/>
  <c r="C32" i="1"/>
  <c r="B32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5" i="1"/>
  <c r="N4" i="1"/>
  <c r="M10" i="5" l="1"/>
  <c r="N10" i="5" s="1"/>
  <c r="O10" i="5" s="1"/>
  <c r="J7" i="5"/>
  <c r="K7" i="5" s="1"/>
  <c r="L7" i="5" s="1"/>
  <c r="M7" i="5" s="1"/>
  <c r="N7" i="5" s="1"/>
  <c r="O7" i="5" s="1"/>
  <c r="K11" i="5"/>
  <c r="L11" i="5" s="1"/>
  <c r="M11" i="5" s="1"/>
  <c r="N11" i="5" s="1"/>
  <c r="O11" i="5" s="1"/>
  <c r="M5" i="5"/>
  <c r="N5" i="5" s="1"/>
  <c r="O5" i="5" s="1"/>
  <c r="K3" i="5"/>
  <c r="J3" i="5" s="1"/>
  <c r="I3" i="5" s="1"/>
  <c r="K2" i="5"/>
  <c r="L2" i="5" s="1"/>
  <c r="M2" i="5" s="1"/>
  <c r="N2" i="5" s="1"/>
  <c r="O2" i="5" s="1"/>
  <c r="N32" i="1"/>
  <c r="E63" i="2"/>
  <c r="E61" i="2"/>
  <c r="E58" i="2"/>
  <c r="E104" i="2"/>
  <c r="E103" i="2"/>
  <c r="E57" i="2"/>
  <c r="E65" i="2"/>
  <c r="E66" i="2"/>
  <c r="E69" i="2"/>
  <c r="E67" i="2"/>
  <c r="E82" i="2"/>
  <c r="E62" i="2"/>
  <c r="E81" i="2"/>
  <c r="E68" i="2"/>
  <c r="E102" i="2"/>
  <c r="E101" i="2"/>
  <c r="E59" i="2"/>
  <c r="E100" i="2"/>
  <c r="E96" i="2"/>
  <c r="E64" i="2"/>
  <c r="E94" i="2"/>
  <c r="E98" i="2"/>
  <c r="E99" i="2"/>
  <c r="E60" i="2"/>
  <c r="E56" i="2"/>
  <c r="E95" i="2"/>
  <c r="E97" i="2"/>
  <c r="F66" i="2"/>
  <c r="F97" i="2"/>
  <c r="F103" i="2"/>
  <c r="F65" i="2"/>
  <c r="F56" i="2"/>
  <c r="F100" i="2"/>
  <c r="F82" i="2"/>
  <c r="F69" i="2"/>
  <c r="F59" i="2"/>
  <c r="F57" i="2"/>
  <c r="F99" i="2"/>
  <c r="F64" i="2"/>
  <c r="F102" i="2"/>
  <c r="F68" i="2"/>
  <c r="F62" i="2"/>
  <c r="F96" i="2"/>
  <c r="F67" i="2"/>
  <c r="F58" i="2"/>
  <c r="F81" i="2"/>
  <c r="F60" i="2"/>
  <c r="F94" i="2"/>
  <c r="F104" i="2"/>
  <c r="F63" i="2"/>
  <c r="F101" i="2"/>
  <c r="F95" i="2"/>
  <c r="F61" i="2"/>
  <c r="F98" i="2"/>
  <c r="G103" i="2"/>
  <c r="G56" i="2"/>
  <c r="G69" i="2"/>
  <c r="G68" i="2"/>
  <c r="G65" i="2"/>
  <c r="G82" i="2"/>
  <c r="G64" i="2"/>
  <c r="G94" i="2"/>
  <c r="G63" i="2"/>
  <c r="G95" i="2"/>
  <c r="G66" i="2"/>
  <c r="G96" i="2"/>
  <c r="G62" i="2"/>
  <c r="G67" i="2"/>
  <c r="G97" i="2"/>
  <c r="G104" i="2"/>
  <c r="G61" i="2"/>
  <c r="G98" i="2"/>
  <c r="G60" i="2"/>
  <c r="G99" i="2"/>
  <c r="G59" i="2"/>
  <c r="G100" i="2"/>
  <c r="G81" i="2"/>
  <c r="G58" i="2"/>
  <c r="G101" i="2"/>
  <c r="G102" i="2"/>
  <c r="G57" i="2"/>
  <c r="H81" i="2"/>
  <c r="H62" i="2"/>
  <c r="H98" i="2"/>
  <c r="H58" i="2"/>
  <c r="H104" i="2"/>
  <c r="H60" i="2"/>
  <c r="H99" i="2"/>
  <c r="H59" i="2"/>
  <c r="H61" i="2"/>
  <c r="H94" i="2"/>
  <c r="H101" i="2"/>
  <c r="H97" i="2"/>
  <c r="H64" i="2"/>
  <c r="H100" i="2"/>
  <c r="H96" i="2"/>
  <c r="H82" i="2"/>
  <c r="H65" i="2"/>
  <c r="H66" i="2"/>
  <c r="H67" i="2"/>
  <c r="H57" i="2"/>
  <c r="H68" i="2"/>
  <c r="H69" i="2"/>
  <c r="H102" i="2"/>
  <c r="H95" i="2"/>
  <c r="H56" i="2"/>
  <c r="H63" i="2"/>
  <c r="H103" i="2"/>
  <c r="I61" i="2"/>
  <c r="I62" i="2"/>
  <c r="I98" i="2"/>
  <c r="I63" i="2"/>
  <c r="I95" i="2"/>
  <c r="I65" i="2"/>
  <c r="I101" i="2"/>
  <c r="I94" i="2"/>
  <c r="I66" i="2"/>
  <c r="I96" i="2"/>
  <c r="I57" i="2"/>
  <c r="I99" i="2"/>
  <c r="I67" i="2"/>
  <c r="I104" i="2"/>
  <c r="I59" i="2"/>
  <c r="I64" i="2"/>
  <c r="I102" i="2"/>
  <c r="I81" i="2"/>
  <c r="I97" i="2"/>
  <c r="I68" i="2"/>
  <c r="I60" i="2"/>
  <c r="I56" i="2"/>
  <c r="I69" i="2"/>
  <c r="I100" i="2"/>
  <c r="I82" i="2"/>
  <c r="I58" i="2"/>
  <c r="I103" i="2"/>
  <c r="J67" i="2"/>
  <c r="J68" i="2"/>
  <c r="J69" i="2"/>
  <c r="J82" i="2"/>
  <c r="J94" i="2"/>
  <c r="J95" i="2"/>
  <c r="J96" i="2"/>
  <c r="J97" i="2"/>
  <c r="J98" i="2"/>
  <c r="J99" i="2"/>
  <c r="J100" i="2"/>
  <c r="J101" i="2"/>
  <c r="J102" i="2"/>
  <c r="J103" i="2"/>
  <c r="J104" i="2"/>
  <c r="J62" i="2"/>
  <c r="J81" i="2"/>
  <c r="J56" i="2"/>
  <c r="J57" i="2"/>
  <c r="J58" i="2"/>
  <c r="J59" i="2"/>
  <c r="J60" i="2"/>
  <c r="J61" i="2"/>
  <c r="J63" i="2"/>
  <c r="J64" i="2"/>
  <c r="J65" i="2"/>
  <c r="J66" i="2"/>
  <c r="K59" i="2"/>
  <c r="K63" i="2"/>
  <c r="K94" i="2"/>
  <c r="K100" i="2"/>
  <c r="K56" i="2"/>
  <c r="K95" i="2"/>
  <c r="K104" i="2"/>
  <c r="K64" i="2"/>
  <c r="K99" i="2"/>
  <c r="K81" i="2"/>
  <c r="K102" i="2"/>
  <c r="K82" i="2"/>
  <c r="K65" i="2"/>
  <c r="K66" i="2"/>
  <c r="K57" i="2"/>
  <c r="K67" i="2"/>
  <c r="K103" i="2"/>
  <c r="K68" i="2"/>
  <c r="K69" i="2"/>
  <c r="K101" i="2"/>
  <c r="K98" i="2"/>
  <c r="K62" i="2"/>
  <c r="K60" i="2"/>
  <c r="K97" i="2"/>
  <c r="K58" i="2"/>
  <c r="K61" i="2"/>
  <c r="K93" i="2"/>
  <c r="K96" i="2"/>
  <c r="L100" i="2"/>
  <c r="L56" i="2"/>
  <c r="L96" i="2"/>
  <c r="L61" i="2"/>
  <c r="L58" i="2"/>
  <c r="L102" i="2"/>
  <c r="L95" i="2"/>
  <c r="L82" i="2"/>
  <c r="L104" i="2"/>
  <c r="L57" i="2"/>
  <c r="L98" i="2"/>
  <c r="L99" i="2"/>
  <c r="L101" i="2"/>
  <c r="L94" i="2"/>
  <c r="L59" i="2"/>
  <c r="L62" i="2"/>
  <c r="L64" i="2"/>
  <c r="L97" i="2"/>
  <c r="L81" i="2"/>
  <c r="L65" i="2"/>
  <c r="L93" i="2"/>
  <c r="L66" i="2"/>
  <c r="L103" i="2"/>
  <c r="L67" i="2"/>
  <c r="L60" i="2"/>
  <c r="L68" i="2"/>
  <c r="L63" i="2"/>
  <c r="L69" i="2"/>
  <c r="M101" i="2"/>
  <c r="M93" i="2"/>
  <c r="M60" i="2"/>
  <c r="M82" i="2"/>
  <c r="M104" i="2"/>
  <c r="M97" i="2"/>
  <c r="M56" i="2"/>
  <c r="M63" i="2"/>
  <c r="M102" i="2"/>
  <c r="M61" i="2"/>
  <c r="M57" i="2"/>
  <c r="M65" i="2"/>
  <c r="M62" i="2"/>
  <c r="M103" i="2"/>
  <c r="M94" i="2"/>
  <c r="M96" i="2"/>
  <c r="M66" i="2"/>
  <c r="M100" i="2"/>
  <c r="M64" i="2"/>
  <c r="M58" i="2"/>
  <c r="M67" i="2"/>
  <c r="M81" i="2"/>
  <c r="M99" i="2"/>
  <c r="M59" i="2"/>
  <c r="M68" i="2"/>
  <c r="M95" i="2"/>
  <c r="M98" i="2"/>
  <c r="M69" i="2"/>
  <c r="N98" i="2"/>
  <c r="N97" i="2"/>
  <c r="N103" i="2"/>
  <c r="N60" i="2"/>
  <c r="N61" i="2"/>
  <c r="N95" i="2"/>
  <c r="N65" i="2"/>
  <c r="N62" i="2"/>
  <c r="N96" i="2"/>
  <c r="N81" i="2"/>
  <c r="N56" i="2"/>
  <c r="N101" i="2"/>
  <c r="N66" i="2"/>
  <c r="N63" i="2"/>
  <c r="N93" i="2"/>
  <c r="N57" i="2"/>
  <c r="N100" i="2"/>
  <c r="N67" i="2"/>
  <c r="N69" i="2"/>
  <c r="N82" i="2"/>
  <c r="N104" i="2"/>
  <c r="N58" i="2"/>
  <c r="N99" i="2"/>
  <c r="N68" i="2"/>
  <c r="N102" i="2"/>
  <c r="N59" i="2"/>
  <c r="O59" i="2" s="1"/>
  <c r="N94" i="2"/>
  <c r="N64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O81" i="2"/>
  <c r="AH56" i="2"/>
  <c r="AA56" i="2"/>
  <c r="AB56" i="2"/>
  <c r="AC56" i="2"/>
  <c r="AD56" i="2"/>
  <c r="AE56" i="2"/>
  <c r="AF56" i="2"/>
  <c r="AG56" i="2"/>
  <c r="Q56" i="2"/>
  <c r="AI56" i="2"/>
  <c r="AJ56" i="2"/>
  <c r="Z56" i="2"/>
  <c r="AK56" i="2"/>
  <c r="AL56" i="2"/>
  <c r="R56" i="2"/>
  <c r="S56" i="2"/>
  <c r="T56" i="2"/>
  <c r="U56" i="2"/>
  <c r="V56" i="2"/>
  <c r="W56" i="2"/>
  <c r="X56" i="2"/>
  <c r="Y56" i="2"/>
  <c r="AM56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Q57" i="2"/>
  <c r="R57" i="2"/>
  <c r="S57" i="2"/>
  <c r="T57" i="2"/>
  <c r="U57" i="2"/>
  <c r="V57" i="2"/>
  <c r="W57" i="2"/>
  <c r="X57" i="2"/>
  <c r="Y57" i="2"/>
  <c r="Z57" i="2"/>
  <c r="AA57" i="2"/>
  <c r="AA58" i="2"/>
  <c r="AB58" i="2"/>
  <c r="S58" i="2"/>
  <c r="T58" i="2"/>
  <c r="U58" i="2"/>
  <c r="AC58" i="2"/>
  <c r="V58" i="2"/>
  <c r="W58" i="2"/>
  <c r="X58" i="2"/>
  <c r="Y58" i="2"/>
  <c r="Z58" i="2"/>
  <c r="R58" i="2"/>
  <c r="AF58" i="2"/>
  <c r="AG58" i="2"/>
  <c r="AH58" i="2"/>
  <c r="AI58" i="2"/>
  <c r="AJ58" i="2"/>
  <c r="AK58" i="2"/>
  <c r="AL58" i="2"/>
  <c r="AM58" i="2"/>
  <c r="AE58" i="2"/>
  <c r="AD58" i="2"/>
  <c r="Q58" i="2"/>
  <c r="AE59" i="2"/>
  <c r="Z59" i="2"/>
  <c r="AM59" i="2"/>
  <c r="AA59" i="2"/>
  <c r="AB59" i="2"/>
  <c r="AC59" i="2"/>
  <c r="AD59" i="2"/>
  <c r="AF59" i="2"/>
  <c r="AG59" i="2"/>
  <c r="AH59" i="2"/>
  <c r="AI59" i="2"/>
  <c r="AK59" i="2"/>
  <c r="AL59" i="2"/>
  <c r="AJ59" i="2"/>
  <c r="P59" i="2"/>
  <c r="Q59" i="2"/>
  <c r="R59" i="2"/>
  <c r="S59" i="2"/>
  <c r="T59" i="2"/>
  <c r="U59" i="2"/>
  <c r="V59" i="2"/>
  <c r="W59" i="2"/>
  <c r="X59" i="2"/>
  <c r="Y59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O60" i="2"/>
  <c r="P60" i="2"/>
  <c r="Q60" i="2"/>
  <c r="R60" i="2"/>
  <c r="S60" i="2"/>
  <c r="T60" i="2"/>
  <c r="U60" i="2"/>
  <c r="V60" i="2"/>
  <c r="W60" i="2"/>
  <c r="X60" i="2"/>
  <c r="Y60" i="2"/>
  <c r="Z60" i="2"/>
  <c r="R61" i="2"/>
  <c r="Q61" i="2"/>
  <c r="AG61" i="2"/>
  <c r="S61" i="2"/>
  <c r="T61" i="2"/>
  <c r="U61" i="2"/>
  <c r="AB61" i="2"/>
  <c r="V61" i="2"/>
  <c r="O61" i="2"/>
  <c r="W61" i="2"/>
  <c r="X61" i="2"/>
  <c r="Y61" i="2"/>
  <c r="Z61" i="2"/>
  <c r="AA61" i="2"/>
  <c r="AC61" i="2"/>
  <c r="AD61" i="2"/>
  <c r="AE61" i="2"/>
  <c r="AF61" i="2"/>
  <c r="P61" i="2"/>
  <c r="AH61" i="2"/>
  <c r="AI61" i="2"/>
  <c r="AJ61" i="2"/>
  <c r="AK61" i="2"/>
  <c r="AL61" i="2"/>
  <c r="AM61" i="2"/>
  <c r="AH62" i="2"/>
  <c r="AC62" i="2"/>
  <c r="AD62" i="2"/>
  <c r="AE62" i="2"/>
  <c r="AF62" i="2"/>
  <c r="AG62" i="2"/>
  <c r="AI62" i="2"/>
  <c r="AJ62" i="2"/>
  <c r="O62" i="2"/>
  <c r="AK62" i="2"/>
  <c r="AM62" i="2"/>
  <c r="AL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W63" i="2"/>
  <c r="V63" i="2"/>
  <c r="U63" i="2"/>
  <c r="T63" i="2"/>
  <c r="S63" i="2"/>
  <c r="R63" i="2"/>
  <c r="Q63" i="2"/>
  <c r="P63" i="2"/>
  <c r="O63" i="2"/>
  <c r="AM63" i="2"/>
  <c r="AL63" i="2"/>
  <c r="AK63" i="2"/>
  <c r="AE63" i="2"/>
  <c r="AJ63" i="2"/>
  <c r="AI63" i="2"/>
  <c r="AH63" i="2"/>
  <c r="AG63" i="2"/>
  <c r="AF63" i="2"/>
  <c r="AD63" i="2"/>
  <c r="AC63" i="2"/>
  <c r="AB63" i="2"/>
  <c r="AA63" i="2"/>
  <c r="Z63" i="2"/>
  <c r="Y63" i="2"/>
  <c r="X63" i="2"/>
  <c r="X64" i="2"/>
  <c r="W64" i="2"/>
  <c r="V64" i="2"/>
  <c r="U64" i="2"/>
  <c r="T64" i="2"/>
  <c r="S64" i="2"/>
  <c r="R64" i="2"/>
  <c r="Q64" i="2"/>
  <c r="P64" i="2"/>
  <c r="Y64" i="2"/>
  <c r="AM64" i="2"/>
  <c r="AL64" i="2"/>
  <c r="AK64" i="2"/>
  <c r="AJ64" i="2"/>
  <c r="AI64" i="2"/>
  <c r="AH64" i="2"/>
  <c r="AG64" i="2"/>
  <c r="AF64" i="2"/>
  <c r="AE64" i="2"/>
  <c r="Z64" i="2"/>
  <c r="AD64" i="2"/>
  <c r="AC64" i="2"/>
  <c r="O64" i="2"/>
  <c r="AB64" i="2"/>
  <c r="AA64" i="2"/>
  <c r="Z65" i="2"/>
  <c r="AA65" i="2"/>
  <c r="AH65" i="2"/>
  <c r="W65" i="2"/>
  <c r="AI65" i="2"/>
  <c r="AJ65" i="2"/>
  <c r="AL65" i="2"/>
  <c r="AM65" i="2"/>
  <c r="X65" i="2"/>
  <c r="U65" i="2"/>
  <c r="T65" i="2"/>
  <c r="O65" i="2"/>
  <c r="V65" i="2"/>
  <c r="R65" i="2"/>
  <c r="AE65" i="2"/>
  <c r="AD65" i="2"/>
  <c r="AC65" i="2"/>
  <c r="AB65" i="2"/>
  <c r="S65" i="2"/>
  <c r="Q65" i="2"/>
  <c r="P65" i="2"/>
  <c r="AK65" i="2"/>
  <c r="AG65" i="2"/>
  <c r="AF65" i="2"/>
  <c r="Y65" i="2"/>
  <c r="AD66" i="2"/>
  <c r="AE66" i="2"/>
  <c r="AF66" i="2"/>
  <c r="AG66" i="2"/>
  <c r="AH66" i="2"/>
  <c r="AI66" i="2"/>
  <c r="AJ66" i="2"/>
  <c r="AK66" i="2"/>
  <c r="AL66" i="2"/>
  <c r="AM66" i="2"/>
  <c r="W66" i="2"/>
  <c r="T66" i="2"/>
  <c r="O66" i="2"/>
  <c r="P66" i="2"/>
  <c r="Q66" i="2"/>
  <c r="R66" i="2"/>
  <c r="S66" i="2"/>
  <c r="U66" i="2"/>
  <c r="V66" i="2"/>
  <c r="X66" i="2"/>
  <c r="Y66" i="2"/>
  <c r="Z66" i="2"/>
  <c r="AA66" i="2"/>
  <c r="AB66" i="2"/>
  <c r="AC66" i="2"/>
  <c r="W67" i="2"/>
  <c r="U67" i="2"/>
  <c r="Q67" i="2"/>
  <c r="AJ67" i="2"/>
  <c r="AL67" i="2"/>
  <c r="Z67" i="2"/>
  <c r="AA67" i="2"/>
  <c r="AC67" i="2"/>
  <c r="AK67" i="2"/>
  <c r="X67" i="2"/>
  <c r="AM67" i="2"/>
  <c r="AD67" i="2"/>
  <c r="AF67" i="2"/>
  <c r="P67" i="2"/>
  <c r="R67" i="2"/>
  <c r="S67" i="2"/>
  <c r="T67" i="2"/>
  <c r="V67" i="2"/>
  <c r="O67" i="2"/>
  <c r="AH67" i="2"/>
  <c r="AG67" i="2"/>
  <c r="AE67" i="2"/>
  <c r="AB67" i="2"/>
  <c r="Y67" i="2"/>
  <c r="AI67" i="2"/>
  <c r="V68" i="2"/>
  <c r="U68" i="2"/>
  <c r="O68" i="2"/>
  <c r="T68" i="2"/>
  <c r="S68" i="2"/>
  <c r="R68" i="2"/>
  <c r="P68" i="2"/>
  <c r="Q68" i="2"/>
  <c r="AE68" i="2"/>
  <c r="AL68" i="2"/>
  <c r="AM68" i="2"/>
  <c r="W68" i="2"/>
  <c r="AB68" i="2"/>
  <c r="AK68" i="2"/>
  <c r="AJ68" i="2"/>
  <c r="AI68" i="2"/>
  <c r="AH68" i="2"/>
  <c r="AG68" i="2"/>
  <c r="AF68" i="2"/>
  <c r="AD68" i="2"/>
  <c r="AC68" i="2"/>
  <c r="AA68" i="2"/>
  <c r="Z68" i="2"/>
  <c r="Y68" i="2"/>
  <c r="X68" i="2"/>
  <c r="AI69" i="2"/>
  <c r="AJ69" i="2"/>
  <c r="AE69" i="2"/>
  <c r="Y69" i="2"/>
  <c r="AM69" i="2"/>
  <c r="AD69" i="2"/>
  <c r="AC69" i="2"/>
  <c r="AB69" i="2"/>
  <c r="R69" i="2"/>
  <c r="S69" i="2"/>
  <c r="T69" i="2"/>
  <c r="U69" i="2"/>
  <c r="W69" i="2"/>
  <c r="O69" i="2"/>
  <c r="AF69" i="2"/>
  <c r="AL69" i="2"/>
  <c r="AH69" i="2"/>
  <c r="Z69" i="2"/>
  <c r="P69" i="2"/>
  <c r="X69" i="2"/>
  <c r="Q69" i="2"/>
  <c r="V69" i="2"/>
  <c r="AA69" i="2"/>
  <c r="AK69" i="2"/>
  <c r="AG69" i="2"/>
  <c r="U70" i="2"/>
  <c r="V70" i="2"/>
  <c r="X70" i="2"/>
  <c r="Y70" i="2"/>
  <c r="Z70" i="2"/>
  <c r="AA70" i="2"/>
  <c r="AB70" i="2"/>
  <c r="AC70" i="2"/>
  <c r="AD70" i="2"/>
  <c r="AF70" i="2"/>
  <c r="AG70" i="2"/>
  <c r="AI70" i="2"/>
  <c r="O70" i="2"/>
  <c r="AK70" i="2"/>
  <c r="AL70" i="2"/>
  <c r="P70" i="2"/>
  <c r="R70" i="2"/>
  <c r="Q70" i="2"/>
  <c r="T70" i="2"/>
  <c r="W70" i="2"/>
  <c r="AE70" i="2"/>
  <c r="AH70" i="2"/>
  <c r="AM70" i="2"/>
  <c r="S70" i="2"/>
  <c r="AJ70" i="2"/>
  <c r="AB71" i="2"/>
  <c r="AG71" i="2"/>
  <c r="AF71" i="2"/>
  <c r="AE71" i="2"/>
  <c r="AD71" i="2"/>
  <c r="AC71" i="2"/>
  <c r="U71" i="2"/>
  <c r="AA71" i="2"/>
  <c r="Z71" i="2"/>
  <c r="Y71" i="2"/>
  <c r="AM71" i="2"/>
  <c r="AL71" i="2"/>
  <c r="W71" i="2"/>
  <c r="AJ71" i="2"/>
  <c r="AI71" i="2"/>
  <c r="AH71" i="2"/>
  <c r="S71" i="2"/>
  <c r="R71" i="2"/>
  <c r="P71" i="2"/>
  <c r="AK71" i="2"/>
  <c r="O71" i="2"/>
  <c r="Q71" i="2"/>
  <c r="T71" i="2"/>
  <c r="V71" i="2"/>
  <c r="X71" i="2"/>
  <c r="Y72" i="2"/>
  <c r="X72" i="2"/>
  <c r="W72" i="2"/>
  <c r="V72" i="2"/>
  <c r="AM72" i="2"/>
  <c r="AL72" i="2"/>
  <c r="U72" i="2"/>
  <c r="T72" i="2"/>
  <c r="AK72" i="2"/>
  <c r="AJ72" i="2"/>
  <c r="AI72" i="2"/>
  <c r="AH72" i="2"/>
  <c r="R72" i="2"/>
  <c r="AG72" i="2"/>
  <c r="AE72" i="2"/>
  <c r="AD72" i="2"/>
  <c r="AC72" i="2"/>
  <c r="AB72" i="2"/>
  <c r="AF72" i="2"/>
  <c r="Q72" i="2"/>
  <c r="P72" i="2"/>
  <c r="S72" i="2"/>
  <c r="AA72" i="2"/>
  <c r="Z72" i="2"/>
  <c r="O72" i="2"/>
  <c r="Z73" i="2"/>
  <c r="O73" i="2"/>
  <c r="P73" i="2"/>
  <c r="Q73" i="2"/>
  <c r="R73" i="2"/>
  <c r="S73" i="2"/>
  <c r="T73" i="2"/>
  <c r="U73" i="2"/>
  <c r="V73" i="2"/>
  <c r="W73" i="2"/>
  <c r="X73" i="2"/>
  <c r="Y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E74" i="2"/>
  <c r="R74" i="2"/>
  <c r="AJ74" i="2"/>
  <c r="AI74" i="2"/>
  <c r="AH74" i="2"/>
  <c r="AG74" i="2"/>
  <c r="AD74" i="2"/>
  <c r="AC74" i="2"/>
  <c r="AB74" i="2"/>
  <c r="AA74" i="2"/>
  <c r="AM74" i="2"/>
  <c r="AK74" i="2"/>
  <c r="Z74" i="2"/>
  <c r="O74" i="2"/>
  <c r="Y74" i="2"/>
  <c r="X74" i="2"/>
  <c r="W74" i="2"/>
  <c r="V74" i="2"/>
  <c r="U74" i="2"/>
  <c r="AL74" i="2"/>
  <c r="T74" i="2"/>
  <c r="S74" i="2"/>
  <c r="Q74" i="2"/>
  <c r="P74" i="2"/>
  <c r="AF74" i="2"/>
  <c r="AH75" i="2"/>
  <c r="X75" i="2"/>
  <c r="AC75" i="2"/>
  <c r="AA75" i="2"/>
  <c r="Y75" i="2"/>
  <c r="U75" i="2"/>
  <c r="S75" i="2"/>
  <c r="Q75" i="2"/>
  <c r="O75" i="2"/>
  <c r="AL75" i="2"/>
  <c r="AI75" i="2"/>
  <c r="AG75" i="2"/>
  <c r="AE75" i="2"/>
  <c r="AD75" i="2"/>
  <c r="Z75" i="2"/>
  <c r="V75" i="2"/>
  <c r="T75" i="2"/>
  <c r="R75" i="2"/>
  <c r="P75" i="2"/>
  <c r="AB75" i="2"/>
  <c r="AF75" i="2"/>
  <c r="AM75" i="2"/>
  <c r="W75" i="2"/>
  <c r="AK75" i="2"/>
  <c r="AJ75" i="2"/>
  <c r="AL76" i="2"/>
  <c r="AJ76" i="2"/>
  <c r="AG76" i="2"/>
  <c r="AE76" i="2"/>
  <c r="AC76" i="2"/>
  <c r="AA76" i="2"/>
  <c r="Y76" i="2"/>
  <c r="X76" i="2"/>
  <c r="V76" i="2"/>
  <c r="T76" i="2"/>
  <c r="R76" i="2"/>
  <c r="P76" i="2"/>
  <c r="AD76" i="2"/>
  <c r="O76" i="2"/>
  <c r="Q76" i="2"/>
  <c r="S76" i="2"/>
  <c r="W76" i="2"/>
  <c r="Z76" i="2"/>
  <c r="AB76" i="2"/>
  <c r="AF76" i="2"/>
  <c r="AH76" i="2"/>
  <c r="AI76" i="2"/>
  <c r="AK76" i="2"/>
  <c r="AM76" i="2"/>
  <c r="U76" i="2"/>
  <c r="X77" i="2"/>
  <c r="V77" i="2"/>
  <c r="AE77" i="2"/>
  <c r="AD77" i="2"/>
  <c r="AB77" i="2"/>
  <c r="Q77" i="2"/>
  <c r="AF77" i="2"/>
  <c r="T77" i="2"/>
  <c r="W77" i="2"/>
  <c r="Y77" i="2"/>
  <c r="AA77" i="2"/>
  <c r="AC77" i="2"/>
  <c r="Z77" i="2"/>
  <c r="AG77" i="2"/>
  <c r="AI77" i="2"/>
  <c r="O77" i="2"/>
  <c r="AK77" i="2"/>
  <c r="AL77" i="2"/>
  <c r="AM77" i="2"/>
  <c r="P77" i="2"/>
  <c r="AJ77" i="2"/>
  <c r="AH77" i="2"/>
  <c r="U77" i="2"/>
  <c r="S77" i="2"/>
  <c r="R77" i="2"/>
  <c r="W78" i="2"/>
  <c r="AM78" i="2"/>
  <c r="AK78" i="2"/>
  <c r="AI78" i="2"/>
  <c r="AE78" i="2"/>
  <c r="R78" i="2"/>
  <c r="V78" i="2"/>
  <c r="Y78" i="2"/>
  <c r="AA78" i="2"/>
  <c r="AD78" i="2"/>
  <c r="AH78" i="2"/>
  <c r="AL78" i="2"/>
  <c r="Q78" i="2"/>
  <c r="Z78" i="2"/>
  <c r="T78" i="2"/>
  <c r="O78" i="2"/>
  <c r="X78" i="2"/>
  <c r="AC78" i="2"/>
  <c r="AG78" i="2"/>
  <c r="AJ78" i="2"/>
  <c r="P78" i="2"/>
  <c r="S78" i="2"/>
  <c r="U78" i="2"/>
  <c r="AB78" i="2"/>
  <c r="AF78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P55" i="2"/>
  <c r="Q55" i="2"/>
  <c r="O55" i="2"/>
  <c r="P32" i="2"/>
  <c r="AG32" i="2"/>
  <c r="AM32" i="2"/>
  <c r="AL32" i="2"/>
  <c r="AK32" i="2"/>
  <c r="AJ32" i="2"/>
  <c r="AI32" i="2"/>
  <c r="AH32" i="2"/>
  <c r="O32" i="2"/>
  <c r="Y32" i="2"/>
  <c r="Q32" i="2"/>
  <c r="R32" i="2"/>
  <c r="S32" i="2"/>
  <c r="T32" i="2"/>
  <c r="U32" i="2"/>
  <c r="V32" i="2"/>
  <c r="W32" i="2"/>
  <c r="X32" i="2"/>
  <c r="AF32" i="2"/>
  <c r="Z32" i="2"/>
  <c r="AA32" i="2"/>
  <c r="AB32" i="2"/>
  <c r="AC32" i="2"/>
  <c r="AD32" i="2"/>
  <c r="AE32" i="2"/>
  <c r="AG33" i="2"/>
  <c r="AH33" i="2"/>
  <c r="Z33" i="2"/>
  <c r="X33" i="2"/>
  <c r="W33" i="2"/>
  <c r="V33" i="2"/>
  <c r="U33" i="2"/>
  <c r="T33" i="2"/>
  <c r="S33" i="2"/>
  <c r="R33" i="2"/>
  <c r="Q33" i="2"/>
  <c r="O33" i="2"/>
  <c r="Y33" i="2"/>
  <c r="AM33" i="2"/>
  <c r="AL33" i="2"/>
  <c r="AK33" i="2"/>
  <c r="AJ33" i="2"/>
  <c r="AI33" i="2"/>
  <c r="AF33" i="2"/>
  <c r="AE33" i="2"/>
  <c r="AD33" i="2"/>
  <c r="AC33" i="2"/>
  <c r="AB33" i="2"/>
  <c r="AA33" i="2"/>
  <c r="P33" i="2"/>
  <c r="AM34" i="2"/>
  <c r="AL34" i="2"/>
  <c r="AK34" i="2"/>
  <c r="AJ34" i="2"/>
  <c r="AI34" i="2"/>
  <c r="AH34" i="2"/>
  <c r="AG34" i="2"/>
  <c r="AF34" i="2"/>
  <c r="AE34" i="2"/>
  <c r="AD34" i="2"/>
  <c r="T34" i="2"/>
  <c r="S34" i="2"/>
  <c r="R34" i="2"/>
  <c r="Q34" i="2"/>
  <c r="P34" i="2"/>
  <c r="AC34" i="2"/>
  <c r="O34" i="2"/>
  <c r="AB34" i="2"/>
  <c r="AA34" i="2"/>
  <c r="Z34" i="2"/>
  <c r="Y34" i="2"/>
  <c r="X34" i="2"/>
  <c r="W34" i="2"/>
  <c r="V34" i="2"/>
  <c r="U34" i="2"/>
  <c r="AG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H35" i="2"/>
  <c r="AI35" i="2"/>
  <c r="AJ35" i="2"/>
  <c r="AK35" i="2"/>
  <c r="AL35" i="2"/>
  <c r="AM35" i="2"/>
  <c r="AH36" i="2"/>
  <c r="AI36" i="2"/>
  <c r="AJ36" i="2"/>
  <c r="AK36" i="2"/>
  <c r="AL36" i="2"/>
  <c r="AM36" i="2"/>
  <c r="T36" i="2"/>
  <c r="S36" i="2"/>
  <c r="R36" i="2"/>
  <c r="Q36" i="2"/>
  <c r="P36" i="2"/>
  <c r="O36" i="2"/>
  <c r="AG36" i="2"/>
  <c r="U36" i="2"/>
  <c r="AF36" i="2"/>
  <c r="AE36" i="2"/>
  <c r="AD36" i="2"/>
  <c r="AC36" i="2"/>
  <c r="AB36" i="2"/>
  <c r="AA36" i="2"/>
  <c r="Z36" i="2"/>
  <c r="Y36" i="2"/>
  <c r="X36" i="2"/>
  <c r="W36" i="2"/>
  <c r="V36" i="2"/>
  <c r="O37" i="2"/>
  <c r="P37" i="2"/>
  <c r="Q37" i="2"/>
  <c r="R37" i="2"/>
  <c r="S37" i="2"/>
  <c r="T37" i="2"/>
  <c r="V37" i="2"/>
  <c r="W37" i="2"/>
  <c r="X37" i="2"/>
  <c r="Y37" i="2"/>
  <c r="Z37" i="2"/>
  <c r="AA37" i="2"/>
  <c r="AC37" i="2"/>
  <c r="AD37" i="2"/>
  <c r="AE37" i="2"/>
  <c r="AF37" i="2"/>
  <c r="AG37" i="2"/>
  <c r="AI37" i="2"/>
  <c r="U37" i="2"/>
  <c r="AM37" i="2"/>
  <c r="AL37" i="2"/>
  <c r="AK37" i="2"/>
  <c r="AJ37" i="2"/>
  <c r="AH37" i="2"/>
  <c r="AB37" i="2"/>
  <c r="AD38" i="2"/>
  <c r="P38" i="2"/>
  <c r="AM38" i="2"/>
  <c r="AK38" i="2"/>
  <c r="T38" i="2"/>
  <c r="U38" i="2"/>
  <c r="S38" i="2"/>
  <c r="V38" i="2"/>
  <c r="W38" i="2"/>
  <c r="X38" i="2"/>
  <c r="Q38" i="2"/>
  <c r="Y38" i="2"/>
  <c r="Z38" i="2"/>
  <c r="AA38" i="2"/>
  <c r="AB38" i="2"/>
  <c r="AC38" i="2"/>
  <c r="AE38" i="2"/>
  <c r="AF38" i="2"/>
  <c r="AG38" i="2"/>
  <c r="R38" i="2"/>
  <c r="AH38" i="2"/>
  <c r="AI38" i="2"/>
  <c r="AL38" i="2"/>
  <c r="AJ38" i="2"/>
  <c r="O38" i="2"/>
  <c r="Y39" i="2"/>
  <c r="Q39" i="2"/>
  <c r="S39" i="2"/>
  <c r="W39" i="2"/>
  <c r="AD39" i="2"/>
  <c r="AF39" i="2"/>
  <c r="R39" i="2"/>
  <c r="T39" i="2"/>
  <c r="U39" i="2"/>
  <c r="V39" i="2"/>
  <c r="X39" i="2"/>
  <c r="Z39" i="2"/>
  <c r="AA39" i="2"/>
  <c r="AB39" i="2"/>
  <c r="AC39" i="2"/>
  <c r="AE39" i="2"/>
  <c r="AG39" i="2"/>
  <c r="AH39" i="2"/>
  <c r="AJ39" i="2"/>
  <c r="AK39" i="2"/>
  <c r="AM39" i="2"/>
  <c r="O39" i="2"/>
  <c r="AL39" i="2"/>
  <c r="AI39" i="2"/>
  <c r="P39" i="2"/>
  <c r="P40" i="2"/>
  <c r="O40" i="2"/>
  <c r="Q40" i="2"/>
  <c r="R40" i="2"/>
  <c r="S40" i="2"/>
  <c r="U40" i="2"/>
  <c r="V40" i="2"/>
  <c r="W40" i="2"/>
  <c r="X40" i="2"/>
  <c r="Y40" i="2"/>
  <c r="Z40" i="2"/>
  <c r="AB40" i="2"/>
  <c r="AC40" i="2"/>
  <c r="AD40" i="2"/>
  <c r="AE40" i="2"/>
  <c r="AG40" i="2"/>
  <c r="AH40" i="2"/>
  <c r="AI40" i="2"/>
  <c r="AJ40" i="2"/>
  <c r="AL40" i="2"/>
  <c r="AM40" i="2"/>
  <c r="T40" i="2"/>
  <c r="AA40" i="2"/>
  <c r="AF40" i="2"/>
  <c r="AK40" i="2"/>
  <c r="W41" i="2"/>
  <c r="AA41" i="2"/>
  <c r="AF41" i="2"/>
  <c r="AJ41" i="2"/>
  <c r="P41" i="2"/>
  <c r="O41" i="2"/>
  <c r="R41" i="2"/>
  <c r="V41" i="2"/>
  <c r="AM41" i="2"/>
  <c r="AL41" i="2"/>
  <c r="AK41" i="2"/>
  <c r="AI41" i="2"/>
  <c r="AH41" i="2"/>
  <c r="S41" i="2"/>
  <c r="AG41" i="2"/>
  <c r="AE41" i="2"/>
  <c r="AD41" i="2"/>
  <c r="Y41" i="2"/>
  <c r="AC41" i="2"/>
  <c r="AB41" i="2"/>
  <c r="Z41" i="2"/>
  <c r="X41" i="2"/>
  <c r="U41" i="2"/>
  <c r="T41" i="2"/>
  <c r="Q41" i="2"/>
  <c r="P42" i="2"/>
  <c r="R42" i="2"/>
  <c r="V42" i="2"/>
  <c r="Z42" i="2"/>
  <c r="AB42" i="2"/>
  <c r="AD42" i="2"/>
  <c r="AF42" i="2"/>
  <c r="AH42" i="2"/>
  <c r="AL42" i="2"/>
  <c r="U42" i="2"/>
  <c r="X42" i="2"/>
  <c r="O42" i="2"/>
  <c r="Q42" i="2"/>
  <c r="S42" i="2"/>
  <c r="T42" i="2"/>
  <c r="W42" i="2"/>
  <c r="Y42" i="2"/>
  <c r="AA42" i="2"/>
  <c r="AC42" i="2"/>
  <c r="AE42" i="2"/>
  <c r="AG42" i="2"/>
  <c r="AI42" i="2"/>
  <c r="AJ42" i="2"/>
  <c r="AK42" i="2"/>
  <c r="AM42" i="2"/>
  <c r="P43" i="2"/>
  <c r="R43" i="2"/>
  <c r="X43" i="2"/>
  <c r="AB43" i="2"/>
  <c r="AH43" i="2"/>
  <c r="AJ43" i="2"/>
  <c r="AM43" i="2"/>
  <c r="Z43" i="2"/>
  <c r="Y43" i="2"/>
  <c r="W43" i="2"/>
  <c r="V43" i="2"/>
  <c r="U43" i="2"/>
  <c r="T43" i="2"/>
  <c r="S43" i="2"/>
  <c r="AA43" i="2"/>
  <c r="AF43" i="2"/>
  <c r="Q43" i="2"/>
  <c r="AL43" i="2"/>
  <c r="O43" i="2"/>
  <c r="AK43" i="2"/>
  <c r="AI43" i="2"/>
  <c r="AG43" i="2"/>
  <c r="AE43" i="2"/>
  <c r="AD43" i="2"/>
  <c r="AC43" i="2"/>
  <c r="P44" i="2"/>
  <c r="T44" i="2"/>
  <c r="V44" i="2"/>
  <c r="X44" i="2"/>
  <c r="Z44" i="2"/>
  <c r="AB44" i="2"/>
  <c r="AD44" i="2"/>
  <c r="AH44" i="2"/>
  <c r="AJ44" i="2"/>
  <c r="O44" i="2"/>
  <c r="AM44" i="2"/>
  <c r="AG44" i="2"/>
  <c r="AL44" i="2"/>
  <c r="AI44" i="2"/>
  <c r="AK44" i="2"/>
  <c r="AE44" i="2"/>
  <c r="R44" i="2"/>
  <c r="AA44" i="2"/>
  <c r="AC44" i="2"/>
  <c r="W44" i="2"/>
  <c r="U44" i="2"/>
  <c r="S44" i="2"/>
  <c r="Q44" i="2"/>
  <c r="AF44" i="2"/>
  <c r="Y44" i="2"/>
  <c r="Q45" i="2"/>
  <c r="S45" i="2"/>
  <c r="U45" i="2"/>
  <c r="V45" i="2"/>
  <c r="AD45" i="2"/>
  <c r="AG45" i="2"/>
  <c r="AJ45" i="2"/>
  <c r="X45" i="2"/>
  <c r="O45" i="2"/>
  <c r="P45" i="2"/>
  <c r="R45" i="2"/>
  <c r="T45" i="2"/>
  <c r="W45" i="2"/>
  <c r="Y45" i="2"/>
  <c r="Z45" i="2"/>
  <c r="AA45" i="2"/>
  <c r="AB45" i="2"/>
  <c r="AC45" i="2"/>
  <c r="AE45" i="2"/>
  <c r="AF45" i="2"/>
  <c r="AH45" i="2"/>
  <c r="AI45" i="2"/>
  <c r="AK45" i="2"/>
  <c r="AL45" i="2"/>
  <c r="AM45" i="2"/>
  <c r="AJ46" i="2"/>
  <c r="V46" i="2"/>
  <c r="W46" i="2"/>
  <c r="X46" i="2"/>
  <c r="Z46" i="2"/>
  <c r="AA46" i="2"/>
  <c r="AB46" i="2"/>
  <c r="AC46" i="2"/>
  <c r="AD46" i="2"/>
  <c r="AK46" i="2"/>
  <c r="AE46" i="2"/>
  <c r="AG46" i="2"/>
  <c r="AI46" i="2"/>
  <c r="AM46" i="2"/>
  <c r="Q46" i="2"/>
  <c r="AH46" i="2"/>
  <c r="AF46" i="2"/>
  <c r="Y46" i="2"/>
  <c r="AL46" i="2"/>
  <c r="T46" i="2"/>
  <c r="O46" i="2"/>
  <c r="P46" i="2"/>
  <c r="R46" i="2"/>
  <c r="S46" i="2"/>
  <c r="U46" i="2"/>
  <c r="AC47" i="2"/>
  <c r="AF47" i="2"/>
  <c r="AJ47" i="2"/>
  <c r="AL47" i="2"/>
  <c r="AE47" i="2"/>
  <c r="AG47" i="2"/>
  <c r="AI47" i="2"/>
  <c r="AK47" i="2"/>
  <c r="AM47" i="2"/>
  <c r="W47" i="2"/>
  <c r="AH47" i="2"/>
  <c r="O47" i="2"/>
  <c r="Z47" i="2"/>
  <c r="P47" i="2"/>
  <c r="Q47" i="2"/>
  <c r="R47" i="2"/>
  <c r="S47" i="2"/>
  <c r="T47" i="2"/>
  <c r="U47" i="2"/>
  <c r="V47" i="2"/>
  <c r="X47" i="2"/>
  <c r="Y47" i="2"/>
  <c r="AA47" i="2"/>
  <c r="AB47" i="2"/>
  <c r="AD47" i="2"/>
  <c r="O48" i="2"/>
  <c r="R48" i="2"/>
  <c r="T48" i="2"/>
  <c r="W48" i="2"/>
  <c r="AB48" i="2"/>
  <c r="AG48" i="2"/>
  <c r="AJ48" i="2"/>
  <c r="P48" i="2"/>
  <c r="Q48" i="2"/>
  <c r="S48" i="2"/>
  <c r="U48" i="2"/>
  <c r="V48" i="2"/>
  <c r="X48" i="2"/>
  <c r="Y48" i="2"/>
  <c r="AA48" i="2"/>
  <c r="AC48" i="2"/>
  <c r="AE48" i="2"/>
  <c r="AF48" i="2"/>
  <c r="AH48" i="2"/>
  <c r="AI48" i="2"/>
  <c r="AK48" i="2"/>
  <c r="AM48" i="2"/>
  <c r="AL48" i="2"/>
  <c r="Z48" i="2"/>
  <c r="AD48" i="2"/>
  <c r="AC49" i="2"/>
  <c r="AD49" i="2"/>
  <c r="AF49" i="2"/>
  <c r="AH49" i="2"/>
  <c r="AK49" i="2"/>
  <c r="AM49" i="2"/>
  <c r="W49" i="2"/>
  <c r="AJ49" i="2"/>
  <c r="AG49" i="2"/>
  <c r="AE49" i="2"/>
  <c r="AA49" i="2"/>
  <c r="Z49" i="2"/>
  <c r="X49" i="2"/>
  <c r="U49" i="2"/>
  <c r="S49" i="2"/>
  <c r="Q49" i="2"/>
  <c r="Y49" i="2"/>
  <c r="P49" i="2"/>
  <c r="R49" i="2"/>
  <c r="AB49" i="2"/>
  <c r="O49" i="2"/>
  <c r="T49" i="2"/>
  <c r="V49" i="2"/>
  <c r="AI49" i="2"/>
  <c r="AL49" i="2"/>
  <c r="Z50" i="2"/>
  <c r="P50" i="2"/>
  <c r="AC50" i="2"/>
  <c r="AD50" i="2"/>
  <c r="AF50" i="2"/>
  <c r="V50" i="2"/>
  <c r="AI50" i="2"/>
  <c r="R50" i="2"/>
  <c r="Q50" i="2"/>
  <c r="S50" i="2"/>
  <c r="U50" i="2"/>
  <c r="X50" i="2"/>
  <c r="T50" i="2"/>
  <c r="O50" i="2"/>
  <c r="AA50" i="2"/>
  <c r="Y50" i="2"/>
  <c r="AB50" i="2"/>
  <c r="AE50" i="2"/>
  <c r="AG50" i="2"/>
  <c r="AJ50" i="2"/>
  <c r="AL50" i="2"/>
  <c r="AK50" i="2"/>
  <c r="AM50" i="2"/>
  <c r="W50" i="2"/>
  <c r="AH50" i="2"/>
  <c r="Z51" i="2"/>
  <c r="AB51" i="2"/>
  <c r="AD51" i="2"/>
  <c r="AF51" i="2"/>
  <c r="AH51" i="2"/>
  <c r="AI51" i="2"/>
  <c r="AL51" i="2"/>
  <c r="AK51" i="2"/>
  <c r="P51" i="2"/>
  <c r="U51" i="2"/>
  <c r="W51" i="2"/>
  <c r="Y51" i="2"/>
  <c r="AC51" i="2"/>
  <c r="S51" i="2"/>
  <c r="AJ51" i="2"/>
  <c r="O51" i="2"/>
  <c r="Q51" i="2"/>
  <c r="R51" i="2"/>
  <c r="T51" i="2"/>
  <c r="V51" i="2"/>
  <c r="X51" i="2"/>
  <c r="AG51" i="2"/>
  <c r="AE51" i="2"/>
  <c r="AA51" i="2"/>
  <c r="AM5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O29" i="2"/>
  <c r="O104" i="2" l="1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P56" i="2"/>
  <c r="O56" i="2"/>
  <c r="P57" i="2"/>
  <c r="O57" i="2"/>
  <c r="P58" i="2"/>
  <c r="O58" i="2"/>
</calcChain>
</file>

<file path=xl/sharedStrings.xml><?xml version="1.0" encoding="utf-8"?>
<sst xmlns="http://schemas.openxmlformats.org/spreadsheetml/2006/main" count="306" uniqueCount="71">
  <si>
    <t>European Data Centre Demand by Country 2024–2035 (TWh)</t>
  </si>
  <si>
    <t>Source: ICIS – Data Centres Hungry for Power (via Infogram chart)</t>
  </si>
  <si>
    <t>Country</t>
  </si>
  <si>
    <t>CAGR 2024–2035</t>
  </si>
  <si>
    <t>Germany</t>
  </si>
  <si>
    <t>France</t>
  </si>
  <si>
    <t>United Kingdom</t>
  </si>
  <si>
    <t>Norway</t>
  </si>
  <si>
    <t>Sweden</t>
  </si>
  <si>
    <t>Ireland</t>
  </si>
  <si>
    <t>Netherlands</t>
  </si>
  <si>
    <t>Spain</t>
  </si>
  <si>
    <t>Italy</t>
  </si>
  <si>
    <t>Denmark</t>
  </si>
  <si>
    <t>Finland</t>
  </si>
  <si>
    <t>Switzerland</t>
  </si>
  <si>
    <t>Belgium</t>
  </si>
  <si>
    <t>Poland</t>
  </si>
  <si>
    <t>Austria</t>
  </si>
  <si>
    <t>Portugal</t>
  </si>
  <si>
    <t>Czech Republic</t>
  </si>
  <si>
    <t>Romania</t>
  </si>
  <si>
    <t>Hungary</t>
  </si>
  <si>
    <t>Bulgaria</t>
  </si>
  <si>
    <t>Slovakia</t>
  </si>
  <si>
    <t>Greece</t>
  </si>
  <si>
    <t>Croatia</t>
  </si>
  <si>
    <t>Lithuania</t>
  </si>
  <si>
    <t>Slovenia</t>
  </si>
  <si>
    <t>Estonia</t>
  </si>
  <si>
    <t>Latvia</t>
  </si>
  <si>
    <t>Cyprus</t>
  </si>
  <si>
    <t>TOTAL</t>
  </si>
  <si>
    <t>Luxembourg</t>
  </si>
  <si>
    <t>KKO</t>
  </si>
  <si>
    <t>KVE</t>
  </si>
  <si>
    <t>VWE</t>
  </si>
  <si>
    <t>VNI</t>
  </si>
  <si>
    <t>Ratio KKO/ICIS</t>
  </si>
  <si>
    <t>Average KKO/ICIS</t>
  </si>
  <si>
    <t>Ratio KVE/ICIS</t>
  </si>
  <si>
    <t>Average KVE/ICIS</t>
  </si>
  <si>
    <t>Ratio VWE/ICIS</t>
  </si>
  <si>
    <t>Average VWE/ICIS</t>
  </si>
  <si>
    <t>Ratio VNI/ICIS</t>
  </si>
  <si>
    <t>Average VNI/ICIS</t>
  </si>
  <si>
    <t>ICIS</t>
  </si>
  <si>
    <t>country</t>
  </si>
  <si>
    <t>scenario</t>
  </si>
  <si>
    <t>Sources</t>
  </si>
  <si>
    <t>EnBW Zukunftsbild 2026</t>
  </si>
  <si>
    <t>Data set scrapt from the web page in the graph "European Data Centre Demand by Country 2024–2035 (TWh)"</t>
  </si>
  <si>
    <t>Heat Pump Values from 2024 to 2060 for 4 different scenarios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</si>
  <si>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ptos"/>
        <family val="2"/>
      </rPr>
      <t>German Values from EnBW Model!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</si>
  <si>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ptos"/>
        <family val="2"/>
      </rPr>
      <t>Other countries From ICIS (Zotero: data_centers_2035)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</si>
  <si>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ptos"/>
        <family val="2"/>
      </rPr>
      <t>Luxemburg missing: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</si>
  <si>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16.5 MW capacity of data centers in 2023 (Zotero: LU_data_center_capa), which is about 0.1 TWh electricity demand yearly, with capacity factor of 0.6 (Zotero: 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</si>
  <si>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EU data center demand growth by almost 150% by 2035 (Zotero: EMBER_data_centers), so this scaling factor is also used for Luxembourg! And the values from 2025 to 2035 are used linearly.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</si>
  <si>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ptos"/>
        <family val="2"/>
      </rPr>
      <t xml:space="preserve">ICIS Data only up to 2035 </t>
    </r>
    <r>
      <rPr>
        <sz val="11"/>
        <color theme="1"/>
        <rFont val="Wingdings"/>
        <charset val="2"/>
      </rPr>
      <t>à</t>
    </r>
    <r>
      <rPr>
        <sz val="11"/>
        <color theme="1"/>
        <rFont val="Aptos"/>
        <family val="2"/>
      </rPr>
      <t xml:space="preserve"> KKO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</si>
  <si>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 xml:space="preserve">For 2036 to 2060 in KKO, for each year, the same growth rate of Germany is assumed in relation to 2035 value. For example: </t>
    </r>
  </si>
  <si>
    <t>Austria_KKO2060 = Austria_KKO2035 * (Germany_KKO2060/Germany_KKO2060)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</si>
  <si>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ptos"/>
        <family val="2"/>
      </rPr>
      <t>For other scenarios (KVE, VWE, VNI):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</si>
  <si>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First calculating the scale of German KKO scenario to each scenario for years 2026 to 2035. And use this scale factor for other countries for each year. For example:</t>
    </r>
  </si>
  <si>
    <t xml:space="preserve"> Austria_VNI2026 = Austria_KKO2026 (Germany_VNI2026/Germany_KKO2026)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</si>
  <si>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Then using same approach of 2036 to 2060: taking the growth rate of Germany in that scenario relative to 2035.</t>
    </r>
  </si>
  <si>
    <t>Austria_VNI2060 = Austria_VNI2035 * (Germany_VNI2060/Germany_VNI2060)</t>
  </si>
  <si>
    <t>Czechia</t>
  </si>
  <si>
    <t>Black Values From ICIS</t>
  </si>
  <si>
    <t>Green Values from JRC</t>
  </si>
  <si>
    <t>Grey Values calculated linearly</t>
  </si>
  <si>
    <t>yearly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</si>
</sst>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20" x14ac:knownFonts="1">
    <font>
      <sz val="11"/>
      <color theme="1"/>
      <name val="Calibri"/>
      <family val="2"/>
      <charset val="1"/>
    </font>
    <font>
      <b/>
      <sz val="13"/>
      <color rgb="FF1F4E79"/>
      <name val="Arial"/>
      <family val="2"/>
    </font>
    <font>
      <i/>
      <sz val="9"/>
      <color rgb="FF80808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charset val="1"/>
    </font>
    <font>
      <b/>
      <sz val="10"/>
      <name val="Cambria"/>
      <family val="2"/>
      <scheme val="major"/>
    </font>
    <font>
      <sz val="10"/>
      <name val="Cambria"/>
      <family val="2"/>
      <scheme val="major"/>
    </font>
    <font>
      <sz val="11"/>
      <color theme="1"/>
      <name val="Aptos"/>
      <family val="2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sz val="11"/>
      <color theme="1"/>
      <name val="Courier New"/>
      <family val="3"/>
    </font>
    <font>
      <sz val="11"/>
      <color theme="1"/>
      <name val="Wingdings"/>
      <charset val="2"/>
    </font>
    <font>
      <b/>
      <sz val="11"/>
      <color theme="0"/>
      <name val="Arial"/>
      <family val="2"/>
    </font>
    <font>
      <b/>
      <sz val="10"/>
      <color theme="1"/>
      <name val="Arial"/>
      <family val="2"/>
    </font>
    <font>
      <b/>
      <sz val="11"/>
      <color rgb="FF00B050"/>
      <name val="Calibri"/>
      <family val="2"/>
    </font>
    <font>
      <sz val="11"/>
      <color theme="0" tint="-0.499984740745262"/>
      <name val="Calibri"/>
      <family val="2"/>
      <charset val="1"/>
    </font>
    <font>
      <sz val="11"/>
      <color rgb="FFC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D6E4F0"/>
        <bgColor rgb="FFEBF3FB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/>
      <bottom/>
      <diagonal/>
    </border>
    <border>
      <left/>
      <right/>
      <top/>
      <bottom style="medium">
        <color theme="2"/>
      </bottom>
      <diagonal/>
    </border>
    <border>
      <left style="thin">
        <color theme="0" tint="-0.499984740745262"/>
      </left>
      <right/>
      <top/>
      <bottom style="medium">
        <color theme="2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164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/>
    <xf numFmtId="164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6" fillId="0" borderId="2" xfId="0" applyFont="1" applyBorder="1"/>
    <xf numFmtId="0" fontId="7" fillId="0" borderId="0" xfId="0" applyFont="1"/>
    <xf numFmtId="0" fontId="8" fillId="0" borderId="3" xfId="0" applyFont="1" applyBorder="1" applyAlignment="1">
      <alignment horizontal="right" wrapText="1"/>
    </xf>
    <xf numFmtId="0" fontId="8" fillId="5" borderId="4" xfId="0" applyFont="1" applyFill="1" applyBorder="1" applyAlignment="1">
      <alignment horizontal="right" wrapText="1"/>
    </xf>
    <xf numFmtId="0" fontId="9" fillId="0" borderId="3" xfId="0" applyFont="1" applyBorder="1" applyAlignment="1">
      <alignment horizontal="right" wrapText="1"/>
    </xf>
    <xf numFmtId="0" fontId="8" fillId="5" borderId="3" xfId="0" applyFont="1" applyFill="1" applyBorder="1" applyAlignment="1">
      <alignment horizontal="right" wrapText="1"/>
    </xf>
    <xf numFmtId="164" fontId="0" fillId="0" borderId="0" xfId="0" applyNumberFormat="1"/>
    <xf numFmtId="0" fontId="4" fillId="6" borderId="1" xfId="0" applyFont="1" applyFill="1" applyBorder="1"/>
    <xf numFmtId="0" fontId="0" fillId="7" borderId="0" xfId="0" applyFill="1"/>
    <xf numFmtId="166" fontId="6" fillId="0" borderId="2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6" fontId="0" fillId="7" borderId="0" xfId="0" applyNumberFormat="1" applyFill="1"/>
    <xf numFmtId="166" fontId="4" fillId="3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indent="5"/>
    </xf>
    <xf numFmtId="0" fontId="13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10"/>
    </xf>
    <xf numFmtId="0" fontId="10" fillId="0" borderId="0" xfId="0" applyFont="1"/>
    <xf numFmtId="0" fontId="15" fillId="2" borderId="1" xfId="0" applyFont="1" applyFill="1" applyBorder="1" applyAlignment="1">
      <alignment horizontal="center" vertical="center"/>
    </xf>
    <xf numFmtId="0" fontId="17" fillId="8" borderId="0" xfId="0" applyFont="1" applyFill="1"/>
    <xf numFmtId="164" fontId="16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ICIS!$A$4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ICIS!$B$3:$M$3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ICIS!$B$4:$M$4</c:f>
              <c:numCache>
                <c:formatCode>0.0</c:formatCode>
                <c:ptCount val="12"/>
                <c:pt idx="0">
                  <c:v>20.6</c:v>
                </c:pt>
                <c:pt idx="1">
                  <c:v>22.4</c:v>
                </c:pt>
                <c:pt idx="2">
                  <c:v>24.3</c:v>
                </c:pt>
                <c:pt idx="3">
                  <c:v>26.3</c:v>
                </c:pt>
                <c:pt idx="4">
                  <c:v>28.3</c:v>
                </c:pt>
                <c:pt idx="5">
                  <c:v>30.5</c:v>
                </c:pt>
                <c:pt idx="6">
                  <c:v>32.700000000000003</c:v>
                </c:pt>
                <c:pt idx="7">
                  <c:v>34.9</c:v>
                </c:pt>
                <c:pt idx="8">
                  <c:v>37.200000000000003</c:v>
                </c:pt>
                <c:pt idx="9">
                  <c:v>39.5</c:v>
                </c:pt>
                <c:pt idx="10">
                  <c:v>41.7</c:v>
                </c:pt>
                <c:pt idx="11">
                  <c:v>43.9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A2-6C48-B7A0-E4A51C3E8DE8}"/>
            </c:ext>
          </c:extLst>
        </c:ser>
        <c:ser>
          <c:idx val="2"/>
          <c:order val="1"/>
          <c:tx>
            <c:strRef>
              <c:f>ICIS!$A$5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ICIS!$B$3:$M$3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ICIS!$B$5:$M$5</c:f>
              <c:numCache>
                <c:formatCode>0.0</c:formatCode>
                <c:ptCount val="12"/>
                <c:pt idx="0">
                  <c:v>11</c:v>
                </c:pt>
                <c:pt idx="1">
                  <c:v>12.2</c:v>
                </c:pt>
                <c:pt idx="2">
                  <c:v>13.4</c:v>
                </c:pt>
                <c:pt idx="3">
                  <c:v>14.7</c:v>
                </c:pt>
                <c:pt idx="4">
                  <c:v>16.100000000000001</c:v>
                </c:pt>
                <c:pt idx="5">
                  <c:v>17.5</c:v>
                </c:pt>
                <c:pt idx="6">
                  <c:v>19</c:v>
                </c:pt>
                <c:pt idx="7">
                  <c:v>20.5</c:v>
                </c:pt>
                <c:pt idx="8">
                  <c:v>22.1</c:v>
                </c:pt>
                <c:pt idx="9">
                  <c:v>23.7</c:v>
                </c:pt>
                <c:pt idx="10">
                  <c:v>25.2</c:v>
                </c:pt>
                <c:pt idx="11">
                  <c:v>26.8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A2-6C48-B7A0-E4A51C3E8DE8}"/>
            </c:ext>
          </c:extLst>
        </c:ser>
        <c:ser>
          <c:idx val="3"/>
          <c:order val="2"/>
          <c:tx>
            <c:strRef>
              <c:f>ICIS!$A$6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ICIS!$B$3:$M$3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ICIS!$B$6:$M$6</c:f>
              <c:numCache>
                <c:formatCode>0.0</c:formatCode>
                <c:ptCount val="12"/>
                <c:pt idx="0">
                  <c:v>12.6</c:v>
                </c:pt>
                <c:pt idx="1">
                  <c:v>13.4</c:v>
                </c:pt>
                <c:pt idx="2">
                  <c:v>14.3</c:v>
                </c:pt>
                <c:pt idx="3">
                  <c:v>15.2</c:v>
                </c:pt>
                <c:pt idx="4">
                  <c:v>16.100000000000001</c:v>
                </c:pt>
                <c:pt idx="5">
                  <c:v>17.100000000000001</c:v>
                </c:pt>
                <c:pt idx="6">
                  <c:v>18.100000000000001</c:v>
                </c:pt>
                <c:pt idx="7">
                  <c:v>19.100000000000001</c:v>
                </c:pt>
                <c:pt idx="8">
                  <c:v>20.100000000000001</c:v>
                </c:pt>
                <c:pt idx="9">
                  <c:v>21.1</c:v>
                </c:pt>
                <c:pt idx="10">
                  <c:v>22.1</c:v>
                </c:pt>
                <c:pt idx="11">
                  <c:v>23.1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A2-6C48-B7A0-E4A51C3E8DE8}"/>
            </c:ext>
          </c:extLst>
        </c:ser>
        <c:ser>
          <c:idx val="4"/>
          <c:order val="3"/>
          <c:tx>
            <c:strRef>
              <c:f>ICIS!$A$7</c:f>
              <c:strCache>
                <c:ptCount val="1"/>
                <c:pt idx="0">
                  <c:v>Norway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ICIS!$B$3:$M$3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ICIS!$B$7:$M$7</c:f>
              <c:numCache>
                <c:formatCode>0.0</c:formatCode>
                <c:ptCount val="12"/>
                <c:pt idx="0">
                  <c:v>3.9</c:v>
                </c:pt>
                <c:pt idx="1">
                  <c:v>4.9000000000000004</c:v>
                </c:pt>
                <c:pt idx="2">
                  <c:v>6</c:v>
                </c:pt>
                <c:pt idx="3">
                  <c:v>7.1</c:v>
                </c:pt>
                <c:pt idx="4">
                  <c:v>8.1999999999999993</c:v>
                </c:pt>
                <c:pt idx="5">
                  <c:v>9.4</c:v>
                </c:pt>
                <c:pt idx="6">
                  <c:v>10.6</c:v>
                </c:pt>
                <c:pt idx="7">
                  <c:v>11.9</c:v>
                </c:pt>
                <c:pt idx="8">
                  <c:v>13.1</c:v>
                </c:pt>
                <c:pt idx="9">
                  <c:v>14.3</c:v>
                </c:pt>
                <c:pt idx="10">
                  <c:v>15.5</c:v>
                </c:pt>
                <c:pt idx="11">
                  <c:v>16.7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A2-6C48-B7A0-E4A51C3E8DE8}"/>
            </c:ext>
          </c:extLst>
        </c:ser>
        <c:ser>
          <c:idx val="5"/>
          <c:order val="4"/>
          <c:tx>
            <c:strRef>
              <c:f>ICIS!$A$8</c:f>
              <c:strCache>
                <c:ptCount val="1"/>
                <c:pt idx="0">
                  <c:v>Sweden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ICIS!$B$3:$M$3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ICIS!$B$8:$M$8</c:f>
              <c:numCache>
                <c:formatCode>0.0</c:formatCode>
                <c:ptCount val="12"/>
                <c:pt idx="0">
                  <c:v>2.9</c:v>
                </c:pt>
                <c:pt idx="1">
                  <c:v>3.8</c:v>
                </c:pt>
                <c:pt idx="2">
                  <c:v>4.8</c:v>
                </c:pt>
                <c:pt idx="3">
                  <c:v>5.8</c:v>
                </c:pt>
                <c:pt idx="4">
                  <c:v>6.8</c:v>
                </c:pt>
                <c:pt idx="5">
                  <c:v>7.9</c:v>
                </c:pt>
                <c:pt idx="6">
                  <c:v>9.1</c:v>
                </c:pt>
                <c:pt idx="7">
                  <c:v>10.199999999999999</c:v>
                </c:pt>
                <c:pt idx="8">
                  <c:v>11.4</c:v>
                </c:pt>
                <c:pt idx="9">
                  <c:v>12.6</c:v>
                </c:pt>
                <c:pt idx="10">
                  <c:v>13.7</c:v>
                </c:pt>
                <c:pt idx="11">
                  <c:v>14.9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A2-6C48-B7A0-E4A51C3E8DE8}"/>
            </c:ext>
          </c:extLst>
        </c:ser>
        <c:ser>
          <c:idx val="6"/>
          <c:order val="5"/>
          <c:tx>
            <c:strRef>
              <c:f>ICIS!$A$9</c:f>
              <c:strCache>
                <c:ptCount val="1"/>
                <c:pt idx="0">
                  <c:v>Ireland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ICIS!$B$3:$M$3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ICIS!$B$9:$M$9</c:f>
              <c:numCache>
                <c:formatCode>0.0</c:formatCode>
                <c:ptCount val="12"/>
                <c:pt idx="0">
                  <c:v>6.8</c:v>
                </c:pt>
                <c:pt idx="1">
                  <c:v>7.5</c:v>
                </c:pt>
                <c:pt idx="2">
                  <c:v>8.1</c:v>
                </c:pt>
                <c:pt idx="3">
                  <c:v>8.8000000000000007</c:v>
                </c:pt>
                <c:pt idx="4">
                  <c:v>9.4</c:v>
                </c:pt>
                <c:pt idx="5">
                  <c:v>10.1</c:v>
                </c:pt>
                <c:pt idx="6">
                  <c:v>10.7</c:v>
                </c:pt>
                <c:pt idx="7">
                  <c:v>11.4</c:v>
                </c:pt>
                <c:pt idx="8">
                  <c:v>12</c:v>
                </c:pt>
                <c:pt idx="9">
                  <c:v>12.6</c:v>
                </c:pt>
                <c:pt idx="10">
                  <c:v>13.1</c:v>
                </c:pt>
                <c:pt idx="11">
                  <c:v>13.6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A2-6C48-B7A0-E4A51C3E8DE8}"/>
            </c:ext>
          </c:extLst>
        </c:ser>
        <c:ser>
          <c:idx val="7"/>
          <c:order val="6"/>
          <c:tx>
            <c:strRef>
              <c:f>ICIS!$A$10</c:f>
              <c:strCache>
                <c:ptCount val="1"/>
                <c:pt idx="0">
                  <c:v>Netherlands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ICIS!$B$3:$M$3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ICIS!$B$10:$M$10</c:f>
              <c:numCache>
                <c:formatCode>0.0</c:formatCode>
                <c:ptCount val="12"/>
                <c:pt idx="0">
                  <c:v>8.4</c:v>
                </c:pt>
                <c:pt idx="1">
                  <c:v>8.8000000000000007</c:v>
                </c:pt>
                <c:pt idx="2">
                  <c:v>9.3000000000000007</c:v>
                </c:pt>
                <c:pt idx="3">
                  <c:v>9.6999999999999993</c:v>
                </c:pt>
                <c:pt idx="4">
                  <c:v>10.199999999999999</c:v>
                </c:pt>
                <c:pt idx="5">
                  <c:v>10.7</c:v>
                </c:pt>
                <c:pt idx="6">
                  <c:v>11.2</c:v>
                </c:pt>
                <c:pt idx="7">
                  <c:v>11.7</c:v>
                </c:pt>
                <c:pt idx="8">
                  <c:v>12.2</c:v>
                </c:pt>
                <c:pt idx="9">
                  <c:v>12.7</c:v>
                </c:pt>
                <c:pt idx="10">
                  <c:v>13.1</c:v>
                </c:pt>
                <c:pt idx="11">
                  <c:v>13.6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2A2-6C48-B7A0-E4A51C3E8DE8}"/>
            </c:ext>
          </c:extLst>
        </c:ser>
        <c:ser>
          <c:idx val="8"/>
          <c:order val="7"/>
          <c:tx>
            <c:strRef>
              <c:f>ICIS!$A$11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ICIS!$B$3:$M$3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ICIS!$B$11:$M$11</c:f>
              <c:numCache>
                <c:formatCode>0.0</c:formatCode>
                <c:ptCount val="12"/>
                <c:pt idx="0">
                  <c:v>5.3</c:v>
                </c:pt>
                <c:pt idx="1">
                  <c:v>5.8</c:v>
                </c:pt>
                <c:pt idx="2">
                  <c:v>6.4</c:v>
                </c:pt>
                <c:pt idx="3">
                  <c:v>7</c:v>
                </c:pt>
                <c:pt idx="4">
                  <c:v>7.6</c:v>
                </c:pt>
                <c:pt idx="5">
                  <c:v>8.3000000000000007</c:v>
                </c:pt>
                <c:pt idx="6">
                  <c:v>9.1</c:v>
                </c:pt>
                <c:pt idx="7">
                  <c:v>9.8000000000000007</c:v>
                </c:pt>
                <c:pt idx="8">
                  <c:v>10.6</c:v>
                </c:pt>
                <c:pt idx="9">
                  <c:v>11.3</c:v>
                </c:pt>
                <c:pt idx="10">
                  <c:v>12.1</c:v>
                </c:pt>
                <c:pt idx="11">
                  <c:v>12.9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2A2-6C48-B7A0-E4A51C3E8DE8}"/>
            </c:ext>
          </c:extLst>
        </c:ser>
        <c:ser>
          <c:idx val="9"/>
          <c:order val="8"/>
          <c:tx>
            <c:strRef>
              <c:f>ICIS!$A$12</c:f>
              <c:strCache>
                <c:ptCount val="1"/>
                <c:pt idx="0">
                  <c:v>Italy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ICIS!$B$3:$M$3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ICIS!$B$12:$M$12</c:f>
              <c:numCache>
                <c:formatCode>0.0</c:formatCode>
                <c:ptCount val="12"/>
                <c:pt idx="0">
                  <c:v>3.6</c:v>
                </c:pt>
                <c:pt idx="1">
                  <c:v>4.0999999999999996</c:v>
                </c:pt>
                <c:pt idx="2">
                  <c:v>4.5999999999999996</c:v>
                </c:pt>
                <c:pt idx="3">
                  <c:v>5.0999999999999996</c:v>
                </c:pt>
                <c:pt idx="4">
                  <c:v>5.7</c:v>
                </c:pt>
                <c:pt idx="5">
                  <c:v>6.3</c:v>
                </c:pt>
                <c:pt idx="6">
                  <c:v>7</c:v>
                </c:pt>
                <c:pt idx="7">
                  <c:v>7.7</c:v>
                </c:pt>
                <c:pt idx="8">
                  <c:v>8.4</c:v>
                </c:pt>
                <c:pt idx="9">
                  <c:v>9.1999999999999993</c:v>
                </c:pt>
                <c:pt idx="10">
                  <c:v>9.9</c:v>
                </c:pt>
                <c:pt idx="11">
                  <c:v>10.7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2A2-6C48-B7A0-E4A51C3E8DE8}"/>
            </c:ext>
          </c:extLst>
        </c:ser>
        <c:ser>
          <c:idx val="10"/>
          <c:order val="9"/>
          <c:tx>
            <c:strRef>
              <c:f>ICIS!$A$13</c:f>
              <c:strCache>
                <c:ptCount val="1"/>
                <c:pt idx="0">
                  <c:v>Denmark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ICIS!$B$3:$M$3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ICIS!$B$13:$M$13</c:f>
              <c:numCache>
                <c:formatCode>0.0</c:formatCode>
                <c:ptCount val="12"/>
                <c:pt idx="0">
                  <c:v>2</c:v>
                </c:pt>
                <c:pt idx="1">
                  <c:v>2.6</c:v>
                </c:pt>
                <c:pt idx="2">
                  <c:v>3.3</c:v>
                </c:pt>
                <c:pt idx="3">
                  <c:v>4</c:v>
                </c:pt>
                <c:pt idx="4">
                  <c:v>4.7</c:v>
                </c:pt>
                <c:pt idx="5">
                  <c:v>5.4</c:v>
                </c:pt>
                <c:pt idx="6">
                  <c:v>6.1</c:v>
                </c:pt>
                <c:pt idx="7">
                  <c:v>6.8</c:v>
                </c:pt>
                <c:pt idx="8">
                  <c:v>7.5</c:v>
                </c:pt>
                <c:pt idx="9">
                  <c:v>8.1999999999999993</c:v>
                </c:pt>
                <c:pt idx="10">
                  <c:v>8.9</c:v>
                </c:pt>
                <c:pt idx="11">
                  <c:v>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2A2-6C48-B7A0-E4A51C3E8DE8}"/>
            </c:ext>
          </c:extLst>
        </c:ser>
        <c:ser>
          <c:idx val="11"/>
          <c:order val="10"/>
          <c:tx>
            <c:strRef>
              <c:f>ICIS!$A$14</c:f>
              <c:strCache>
                <c:ptCount val="1"/>
                <c:pt idx="0">
                  <c:v>Finland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ICIS!$B$3:$M$3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ICIS!$B$14:$M$14</c:f>
              <c:numCache>
                <c:formatCode>0.0</c:formatCode>
                <c:ptCount val="12"/>
                <c:pt idx="0">
                  <c:v>1.5</c:v>
                </c:pt>
                <c:pt idx="1">
                  <c:v>1.8</c:v>
                </c:pt>
                <c:pt idx="2">
                  <c:v>2.2000000000000002</c:v>
                </c:pt>
                <c:pt idx="3">
                  <c:v>2.6</c:v>
                </c:pt>
                <c:pt idx="4">
                  <c:v>3</c:v>
                </c:pt>
                <c:pt idx="5">
                  <c:v>3.5</c:v>
                </c:pt>
                <c:pt idx="6">
                  <c:v>3.9</c:v>
                </c:pt>
                <c:pt idx="7">
                  <c:v>4.4000000000000004</c:v>
                </c:pt>
                <c:pt idx="8">
                  <c:v>4.9000000000000004</c:v>
                </c:pt>
                <c:pt idx="9">
                  <c:v>5.3</c:v>
                </c:pt>
                <c:pt idx="10">
                  <c:v>5.8</c:v>
                </c:pt>
                <c:pt idx="11">
                  <c:v>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2A2-6C48-B7A0-E4A51C3E8DE8}"/>
            </c:ext>
          </c:extLst>
        </c:ser>
        <c:ser>
          <c:idx val="12"/>
          <c:order val="11"/>
          <c:tx>
            <c:strRef>
              <c:f>ICIS!$A$15</c:f>
              <c:strCache>
                <c:ptCount val="1"/>
                <c:pt idx="0">
                  <c:v>Switzerland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ICIS!$B$3:$M$3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ICIS!$B$15:$M$15</c:f>
              <c:numCache>
                <c:formatCode>0.0</c:formatCode>
                <c:ptCount val="12"/>
                <c:pt idx="0">
                  <c:v>2.4</c:v>
                </c:pt>
                <c:pt idx="1">
                  <c:v>2.6</c:v>
                </c:pt>
                <c:pt idx="2">
                  <c:v>2.9</c:v>
                </c:pt>
                <c:pt idx="3">
                  <c:v>3.2</c:v>
                </c:pt>
                <c:pt idx="4">
                  <c:v>3.5</c:v>
                </c:pt>
                <c:pt idx="5">
                  <c:v>3.8</c:v>
                </c:pt>
                <c:pt idx="6">
                  <c:v>4.0999999999999996</c:v>
                </c:pt>
                <c:pt idx="7">
                  <c:v>4.5</c:v>
                </c:pt>
                <c:pt idx="8">
                  <c:v>4.8</c:v>
                </c:pt>
                <c:pt idx="9">
                  <c:v>5.0999999999999996</c:v>
                </c:pt>
                <c:pt idx="10">
                  <c:v>5.4</c:v>
                </c:pt>
                <c:pt idx="11">
                  <c:v>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A2A2-6C48-B7A0-E4A51C3E8DE8}"/>
            </c:ext>
          </c:extLst>
        </c:ser>
        <c:ser>
          <c:idx val="13"/>
          <c:order val="12"/>
          <c:tx>
            <c:strRef>
              <c:f>ICIS!$A$16</c:f>
              <c:strCache>
                <c:ptCount val="1"/>
                <c:pt idx="0">
                  <c:v>Belgium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ICIS!$B$3:$M$3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ICIS!$B$16:$M$16</c:f>
              <c:numCache>
                <c:formatCode>0.0</c:formatCode>
                <c:ptCount val="12"/>
                <c:pt idx="0">
                  <c:v>2.2000000000000002</c:v>
                </c:pt>
                <c:pt idx="1">
                  <c:v>2.5</c:v>
                </c:pt>
                <c:pt idx="2">
                  <c:v>2.7</c:v>
                </c:pt>
                <c:pt idx="3">
                  <c:v>3</c:v>
                </c:pt>
                <c:pt idx="4">
                  <c:v>3.2</c:v>
                </c:pt>
                <c:pt idx="5">
                  <c:v>3.5</c:v>
                </c:pt>
                <c:pt idx="6">
                  <c:v>3.8</c:v>
                </c:pt>
                <c:pt idx="7">
                  <c:v>4.0999999999999996</c:v>
                </c:pt>
                <c:pt idx="8">
                  <c:v>4.4000000000000004</c:v>
                </c:pt>
                <c:pt idx="9">
                  <c:v>4.7</c:v>
                </c:pt>
                <c:pt idx="10">
                  <c:v>5</c:v>
                </c:pt>
                <c:pt idx="11">
                  <c:v>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A2A2-6C48-B7A0-E4A51C3E8DE8}"/>
            </c:ext>
          </c:extLst>
        </c:ser>
        <c:ser>
          <c:idx val="14"/>
          <c:order val="13"/>
          <c:tx>
            <c:strRef>
              <c:f>ICIS!$A$17</c:f>
              <c:strCache>
                <c:ptCount val="1"/>
                <c:pt idx="0">
                  <c:v>Poland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ICIS!$B$3:$M$3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ICIS!$B$17:$M$17</c:f>
              <c:numCache>
                <c:formatCode>0.0</c:formatCode>
                <c:ptCount val="12"/>
                <c:pt idx="0">
                  <c:v>2.7</c:v>
                </c:pt>
                <c:pt idx="1">
                  <c:v>2.9</c:v>
                </c:pt>
                <c:pt idx="2">
                  <c:v>3</c:v>
                </c:pt>
                <c:pt idx="3">
                  <c:v>3.2</c:v>
                </c:pt>
                <c:pt idx="4">
                  <c:v>3.4</c:v>
                </c:pt>
                <c:pt idx="5">
                  <c:v>3.5</c:v>
                </c:pt>
                <c:pt idx="6">
                  <c:v>3.7</c:v>
                </c:pt>
                <c:pt idx="7">
                  <c:v>3.9</c:v>
                </c:pt>
                <c:pt idx="8">
                  <c:v>4.2</c:v>
                </c:pt>
                <c:pt idx="9">
                  <c:v>4.4000000000000004</c:v>
                </c:pt>
                <c:pt idx="10">
                  <c:v>4.5999999999999996</c:v>
                </c:pt>
                <c:pt idx="11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A2A2-6C48-B7A0-E4A51C3E8DE8}"/>
            </c:ext>
          </c:extLst>
        </c:ser>
        <c:ser>
          <c:idx val="15"/>
          <c:order val="14"/>
          <c:tx>
            <c:strRef>
              <c:f>ICIS!$A$18</c:f>
              <c:strCache>
                <c:ptCount val="1"/>
                <c:pt idx="0">
                  <c:v>Austria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ICIS!$B$3:$M$3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ICIS!$B$18:$M$18</c:f>
              <c:numCache>
                <c:formatCode>0.0</c:formatCode>
                <c:ptCount val="12"/>
                <c:pt idx="0">
                  <c:v>1.2</c:v>
                </c:pt>
                <c:pt idx="1">
                  <c:v>1.5</c:v>
                </c:pt>
                <c:pt idx="2">
                  <c:v>1.8</c:v>
                </c:pt>
                <c:pt idx="3">
                  <c:v>2</c:v>
                </c:pt>
                <c:pt idx="4">
                  <c:v>2.2999999999999998</c:v>
                </c:pt>
                <c:pt idx="5">
                  <c:v>2.6</c:v>
                </c:pt>
                <c:pt idx="6">
                  <c:v>3</c:v>
                </c:pt>
                <c:pt idx="7">
                  <c:v>3.3</c:v>
                </c:pt>
                <c:pt idx="8">
                  <c:v>3.6</c:v>
                </c:pt>
                <c:pt idx="9">
                  <c:v>4</c:v>
                </c:pt>
                <c:pt idx="10">
                  <c:v>4.3</c:v>
                </c:pt>
                <c:pt idx="11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A2A2-6C48-B7A0-E4A51C3E8DE8}"/>
            </c:ext>
          </c:extLst>
        </c:ser>
        <c:ser>
          <c:idx val="16"/>
          <c:order val="15"/>
          <c:tx>
            <c:strRef>
              <c:f>ICIS!$A$19</c:f>
              <c:strCache>
                <c:ptCount val="1"/>
                <c:pt idx="0">
                  <c:v>Portugal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ICIS!$B$3:$M$3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ICIS!$B$19:$M$19</c:f>
              <c:numCache>
                <c:formatCode>0.0</c:formatCode>
                <c:ptCount val="12"/>
                <c:pt idx="0">
                  <c:v>1.1000000000000001</c:v>
                </c:pt>
                <c:pt idx="1">
                  <c:v>1.2</c:v>
                </c:pt>
                <c:pt idx="2">
                  <c:v>1.4</c:v>
                </c:pt>
                <c:pt idx="3">
                  <c:v>1.6</c:v>
                </c:pt>
                <c:pt idx="4">
                  <c:v>1.8</c:v>
                </c:pt>
                <c:pt idx="5">
                  <c:v>2.1</c:v>
                </c:pt>
                <c:pt idx="6">
                  <c:v>2.2999999999999998</c:v>
                </c:pt>
                <c:pt idx="7">
                  <c:v>2.5</c:v>
                </c:pt>
                <c:pt idx="8">
                  <c:v>2.8</c:v>
                </c:pt>
                <c:pt idx="9">
                  <c:v>3</c:v>
                </c:pt>
                <c:pt idx="10">
                  <c:v>3.3</c:v>
                </c:pt>
                <c:pt idx="11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A2A2-6C48-B7A0-E4A51C3E8DE8}"/>
            </c:ext>
          </c:extLst>
        </c:ser>
        <c:ser>
          <c:idx val="17"/>
          <c:order val="16"/>
          <c:tx>
            <c:strRef>
              <c:f>ICIS!$A$20</c:f>
              <c:strCache>
                <c:ptCount val="1"/>
                <c:pt idx="0">
                  <c:v>Czech Republic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ICIS!$B$3:$M$3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ICIS!$B$20:$M$20</c:f>
              <c:numCache>
                <c:formatCode>0.0</c:formatCode>
                <c:ptCount val="12"/>
                <c:pt idx="0">
                  <c:v>1.3</c:v>
                </c:pt>
                <c:pt idx="1">
                  <c:v>1.5</c:v>
                </c:pt>
                <c:pt idx="2">
                  <c:v>1.7</c:v>
                </c:pt>
                <c:pt idx="3">
                  <c:v>1.8</c:v>
                </c:pt>
                <c:pt idx="4">
                  <c:v>2</c:v>
                </c:pt>
                <c:pt idx="5">
                  <c:v>2.2000000000000002</c:v>
                </c:pt>
                <c:pt idx="6">
                  <c:v>2.4</c:v>
                </c:pt>
                <c:pt idx="7">
                  <c:v>2.6</c:v>
                </c:pt>
                <c:pt idx="8">
                  <c:v>2.8</c:v>
                </c:pt>
                <c:pt idx="9">
                  <c:v>3.1</c:v>
                </c:pt>
                <c:pt idx="10">
                  <c:v>3.3</c:v>
                </c:pt>
                <c:pt idx="11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A2A2-6C48-B7A0-E4A51C3E8DE8}"/>
            </c:ext>
          </c:extLst>
        </c:ser>
        <c:ser>
          <c:idx val="18"/>
          <c:order val="17"/>
          <c:tx>
            <c:strRef>
              <c:f>ICIS!$A$21</c:f>
              <c:strCache>
                <c:ptCount val="1"/>
                <c:pt idx="0">
                  <c:v>Romania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ICIS!$B$3:$M$3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ICIS!$B$21:$M$21</c:f>
              <c:numCache>
                <c:formatCode>0.0</c:formatCode>
                <c:ptCount val="12"/>
                <c:pt idx="0">
                  <c:v>1.6</c:v>
                </c:pt>
                <c:pt idx="1">
                  <c:v>1.7</c:v>
                </c:pt>
                <c:pt idx="2">
                  <c:v>1.8</c:v>
                </c:pt>
                <c:pt idx="3">
                  <c:v>1.9</c:v>
                </c:pt>
                <c:pt idx="4">
                  <c:v>2</c:v>
                </c:pt>
                <c:pt idx="5">
                  <c:v>2.2000000000000002</c:v>
                </c:pt>
                <c:pt idx="6">
                  <c:v>2.2999999999999998</c:v>
                </c:pt>
                <c:pt idx="7">
                  <c:v>2.5</c:v>
                </c:pt>
                <c:pt idx="8">
                  <c:v>2.6</c:v>
                </c:pt>
                <c:pt idx="9">
                  <c:v>2.8</c:v>
                </c:pt>
                <c:pt idx="10">
                  <c:v>3</c:v>
                </c:pt>
                <c:pt idx="11">
                  <c:v>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A2A2-6C48-B7A0-E4A51C3E8DE8}"/>
            </c:ext>
          </c:extLst>
        </c:ser>
        <c:ser>
          <c:idx val="19"/>
          <c:order val="18"/>
          <c:tx>
            <c:strRef>
              <c:f>ICIS!$A$22</c:f>
              <c:strCache>
                <c:ptCount val="1"/>
                <c:pt idx="0">
                  <c:v>Hungary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ICIS!$B$3:$M$3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ICIS!$B$22:$M$22</c:f>
              <c:numCache>
                <c:formatCode>0.0</c:formatCode>
                <c:ptCount val="12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1.2</c:v>
                </c:pt>
                <c:pt idx="7">
                  <c:v>1.3</c:v>
                </c:pt>
                <c:pt idx="8">
                  <c:v>1.5</c:v>
                </c:pt>
                <c:pt idx="9">
                  <c:v>1.6</c:v>
                </c:pt>
                <c:pt idx="10">
                  <c:v>1.8</c:v>
                </c:pt>
                <c:pt idx="11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A2A2-6C48-B7A0-E4A51C3E8DE8}"/>
            </c:ext>
          </c:extLst>
        </c:ser>
        <c:ser>
          <c:idx val="20"/>
          <c:order val="19"/>
          <c:tx>
            <c:strRef>
              <c:f>ICIS!$A$23</c:f>
              <c:strCache>
                <c:ptCount val="1"/>
                <c:pt idx="0">
                  <c:v>Bulgaria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ICIS!$B$3:$M$3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ICIS!$B$23:$M$23</c:f>
              <c:numCache>
                <c:formatCode>0.0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1.1000000000000001</c:v>
                </c:pt>
                <c:pt idx="3">
                  <c:v>1.2</c:v>
                </c:pt>
                <c:pt idx="4">
                  <c:v>1.3</c:v>
                </c:pt>
                <c:pt idx="5">
                  <c:v>1.3</c:v>
                </c:pt>
                <c:pt idx="6">
                  <c:v>1.4</c:v>
                </c:pt>
                <c:pt idx="7">
                  <c:v>1.5</c:v>
                </c:pt>
                <c:pt idx="8">
                  <c:v>1.6</c:v>
                </c:pt>
                <c:pt idx="9">
                  <c:v>1.7</c:v>
                </c:pt>
                <c:pt idx="10">
                  <c:v>1.8</c:v>
                </c:pt>
                <c:pt idx="11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A2A2-6C48-B7A0-E4A51C3E8DE8}"/>
            </c:ext>
          </c:extLst>
        </c:ser>
        <c:ser>
          <c:idx val="21"/>
          <c:order val="20"/>
          <c:tx>
            <c:strRef>
              <c:f>ICIS!$A$24</c:f>
              <c:strCache>
                <c:ptCount val="1"/>
                <c:pt idx="0">
                  <c:v>Slovakia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ICIS!$B$3:$M$3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ICIS!$B$24:$M$24</c:f>
              <c:numCache>
                <c:formatCode>0.0</c:formatCode>
                <c:ptCount val="12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1.1000000000000001</c:v>
                </c:pt>
                <c:pt idx="6">
                  <c:v>1.2</c:v>
                </c:pt>
                <c:pt idx="7">
                  <c:v>1.3</c:v>
                </c:pt>
                <c:pt idx="8">
                  <c:v>1.4</c:v>
                </c:pt>
                <c:pt idx="9">
                  <c:v>1.6</c:v>
                </c:pt>
                <c:pt idx="10">
                  <c:v>1.7</c:v>
                </c:pt>
                <c:pt idx="11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A2A2-6C48-B7A0-E4A51C3E8DE8}"/>
            </c:ext>
          </c:extLst>
        </c:ser>
        <c:ser>
          <c:idx val="22"/>
          <c:order val="21"/>
          <c:tx>
            <c:strRef>
              <c:f>ICIS!$A$25</c:f>
              <c:strCache>
                <c:ptCount val="1"/>
                <c:pt idx="0">
                  <c:v>Greece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ICIS!$B$3:$M$3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ICIS!$B$25:$M$25</c:f>
              <c:numCache>
                <c:formatCode>0.0</c:formatCode>
                <c:ptCount val="12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A2A2-6C48-B7A0-E4A51C3E8DE8}"/>
            </c:ext>
          </c:extLst>
        </c:ser>
        <c:ser>
          <c:idx val="23"/>
          <c:order val="22"/>
          <c:tx>
            <c:strRef>
              <c:f>ICIS!$A$26</c:f>
              <c:strCache>
                <c:ptCount val="1"/>
                <c:pt idx="0">
                  <c:v>Croatia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ICIS!$B$3:$M$3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ICIS!$B$26:$M$26</c:f>
              <c:numCache>
                <c:formatCode>0.0</c:formatCode>
                <c:ptCount val="12"/>
                <c:pt idx="0">
                  <c:v>0.6</c:v>
                </c:pt>
                <c:pt idx="1">
                  <c:v>0.6</c:v>
                </c:pt>
                <c:pt idx="2">
                  <c:v>0.7</c:v>
                </c:pt>
                <c:pt idx="3">
                  <c:v>0.7</c:v>
                </c:pt>
                <c:pt idx="4">
                  <c:v>0.8</c:v>
                </c:pt>
                <c:pt idx="5">
                  <c:v>0.9</c:v>
                </c:pt>
                <c:pt idx="6">
                  <c:v>0.9</c:v>
                </c:pt>
                <c:pt idx="7">
                  <c:v>1</c:v>
                </c:pt>
                <c:pt idx="8">
                  <c:v>1.1000000000000001</c:v>
                </c:pt>
                <c:pt idx="9">
                  <c:v>1.1000000000000001</c:v>
                </c:pt>
                <c:pt idx="10">
                  <c:v>1.2</c:v>
                </c:pt>
                <c:pt idx="11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A2A2-6C48-B7A0-E4A51C3E8DE8}"/>
            </c:ext>
          </c:extLst>
        </c:ser>
        <c:ser>
          <c:idx val="24"/>
          <c:order val="23"/>
          <c:tx>
            <c:strRef>
              <c:f>ICIS!$A$27</c:f>
              <c:strCache>
                <c:ptCount val="1"/>
                <c:pt idx="0">
                  <c:v>Lithuania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ICIS!$B$3:$M$3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ICIS!$B$27:$M$27</c:f>
              <c:numCache>
                <c:formatCode>0.0</c:formatCode>
                <c:ptCount val="12"/>
                <c:pt idx="0">
                  <c:v>0.6</c:v>
                </c:pt>
                <c:pt idx="1">
                  <c:v>0.7</c:v>
                </c:pt>
                <c:pt idx="2">
                  <c:v>0.7</c:v>
                </c:pt>
                <c:pt idx="3">
                  <c:v>0.8</c:v>
                </c:pt>
                <c:pt idx="4">
                  <c:v>0.8</c:v>
                </c:pt>
                <c:pt idx="5">
                  <c:v>0.9</c:v>
                </c:pt>
                <c:pt idx="6">
                  <c:v>0.9</c:v>
                </c:pt>
                <c:pt idx="7">
                  <c:v>1</c:v>
                </c:pt>
                <c:pt idx="8">
                  <c:v>1.1000000000000001</c:v>
                </c:pt>
                <c:pt idx="9">
                  <c:v>1.1000000000000001</c:v>
                </c:pt>
                <c:pt idx="10">
                  <c:v>1.2</c:v>
                </c:pt>
                <c:pt idx="11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A2A2-6C48-B7A0-E4A51C3E8DE8}"/>
            </c:ext>
          </c:extLst>
        </c:ser>
        <c:ser>
          <c:idx val="25"/>
          <c:order val="24"/>
          <c:tx>
            <c:strRef>
              <c:f>ICIS!$A$28</c:f>
              <c:strCache>
                <c:ptCount val="1"/>
                <c:pt idx="0">
                  <c:v>Slovenia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ICIS!$B$3:$M$3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ICIS!$B$28:$M$28</c:f>
              <c:numCache>
                <c:formatCode>0.0</c:formatCode>
                <c:ptCount val="12"/>
                <c:pt idx="0">
                  <c:v>0.5</c:v>
                </c:pt>
                <c:pt idx="1">
                  <c:v>0.6</c:v>
                </c:pt>
                <c:pt idx="2">
                  <c:v>0.6</c:v>
                </c:pt>
                <c:pt idx="3">
                  <c:v>0.7</c:v>
                </c:pt>
                <c:pt idx="4">
                  <c:v>0.7</c:v>
                </c:pt>
                <c:pt idx="5">
                  <c:v>0.8</c:v>
                </c:pt>
                <c:pt idx="6">
                  <c:v>0.9</c:v>
                </c:pt>
                <c:pt idx="7">
                  <c:v>0.9</c:v>
                </c:pt>
                <c:pt idx="8">
                  <c:v>1</c:v>
                </c:pt>
                <c:pt idx="9">
                  <c:v>1.1000000000000001</c:v>
                </c:pt>
                <c:pt idx="10">
                  <c:v>1.1000000000000001</c:v>
                </c:pt>
                <c:pt idx="11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A2A2-6C48-B7A0-E4A51C3E8DE8}"/>
            </c:ext>
          </c:extLst>
        </c:ser>
        <c:ser>
          <c:idx val="26"/>
          <c:order val="25"/>
          <c:tx>
            <c:strRef>
              <c:f>ICIS!$A$29</c:f>
              <c:strCache>
                <c:ptCount val="1"/>
                <c:pt idx="0">
                  <c:v>Estonia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ICIS!$B$3:$M$3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ICIS!$B$29:$M$29</c:f>
              <c:numCache>
                <c:formatCode>0.0</c:formatCode>
                <c:ptCount val="12"/>
                <c:pt idx="0">
                  <c:v>0.4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0.6</c:v>
                </c:pt>
                <c:pt idx="5">
                  <c:v>0.6</c:v>
                </c:pt>
                <c:pt idx="6">
                  <c:v>0.7</c:v>
                </c:pt>
                <c:pt idx="7">
                  <c:v>0.7</c:v>
                </c:pt>
                <c:pt idx="8">
                  <c:v>0.8</c:v>
                </c:pt>
                <c:pt idx="9">
                  <c:v>0.8</c:v>
                </c:pt>
                <c:pt idx="10">
                  <c:v>0.9</c:v>
                </c:pt>
                <c:pt idx="11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A2A2-6C48-B7A0-E4A51C3E8DE8}"/>
            </c:ext>
          </c:extLst>
        </c:ser>
        <c:ser>
          <c:idx val="27"/>
          <c:order val="26"/>
          <c:tx>
            <c:strRef>
              <c:f>ICIS!$A$30</c:f>
              <c:strCache>
                <c:ptCount val="1"/>
                <c:pt idx="0">
                  <c:v>Latvia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ICIS!$B$3:$M$3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ICIS!$B$30:$M$30</c:f>
              <c:numCache>
                <c:formatCode>0.0</c:formatCode>
                <c:ptCount val="12"/>
                <c:pt idx="0">
                  <c:v>0.3</c:v>
                </c:pt>
                <c:pt idx="1">
                  <c:v>0.4</c:v>
                </c:pt>
                <c:pt idx="2">
                  <c:v>0.4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0.6</c:v>
                </c:pt>
                <c:pt idx="7">
                  <c:v>0.6</c:v>
                </c:pt>
                <c:pt idx="8">
                  <c:v>0.7</c:v>
                </c:pt>
                <c:pt idx="9">
                  <c:v>0.7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A2A2-6C48-B7A0-E4A51C3E8DE8}"/>
            </c:ext>
          </c:extLst>
        </c:ser>
        <c:ser>
          <c:idx val="28"/>
          <c:order val="27"/>
          <c:tx>
            <c:strRef>
              <c:f>ICIS!$A$31</c:f>
              <c:strCache>
                <c:ptCount val="1"/>
                <c:pt idx="0">
                  <c:v>Cyprus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ICIS!$B$3:$M$3</c:f>
              <c:numCache>
                <c:formatCode>General</c:formatCod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numCache>
            </c:numRef>
          </c:cat>
          <c:val>
            <c:numRef>
              <c:f>ICIS!$B$31:$M$31</c:f>
              <c:numCache>
                <c:formatCode>0.0</c:formatCode>
                <c:ptCount val="12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A2A2-6C48-B7A0-E4A51C3E8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5452096"/>
        <c:axId val="935458816"/>
      </c:barChart>
      <c:catAx>
        <c:axId val="93545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458816"/>
        <c:crosses val="autoZero"/>
        <c:auto val="1"/>
        <c:lblAlgn val="ctr"/>
        <c:lblOffset val="100"/>
        <c:noMultiLvlLbl val="0"/>
      </c:catAx>
      <c:valAx>
        <c:axId val="93545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45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'input_EnBW Model 2026'!$B$2</c:f>
              <c:strCache>
                <c:ptCount val="1"/>
                <c:pt idx="0">
                  <c:v>KKO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'input_EnBW Model 2026'!$C$1:$AM$1</c:f>
              <c:numCache>
                <c:formatCode>General</c:formatCode>
                <c:ptCount val="3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  <c:pt idx="32">
                  <c:v>2056</c:v>
                </c:pt>
                <c:pt idx="33">
                  <c:v>2057</c:v>
                </c:pt>
                <c:pt idx="34">
                  <c:v>2058</c:v>
                </c:pt>
                <c:pt idx="35">
                  <c:v>2059</c:v>
                </c:pt>
                <c:pt idx="36">
                  <c:v>2060</c:v>
                </c:pt>
              </c:numCache>
            </c:numRef>
          </c:cat>
          <c:val>
            <c:numRef>
              <c:f>'input_EnBW Model 2026'!$C$2:$AM$2</c:f>
              <c:numCache>
                <c:formatCode>General</c:formatCode>
                <c:ptCount val="37"/>
                <c:pt idx="0">
                  <c:v>20.028513599999997</c:v>
                </c:pt>
                <c:pt idx="1">
                  <c:v>21.630553099714284</c:v>
                </c:pt>
                <c:pt idx="2">
                  <c:v>23.346581035075808</c:v>
                </c:pt>
                <c:pt idx="3">
                  <c:v>25.182703412580683</c:v>
                </c:pt>
                <c:pt idx="4">
                  <c:v>27.145034191007397</c:v>
                </c:pt>
                <c:pt idx="5">
                  <c:v>29.239627803491427</c:v>
                </c:pt>
                <c:pt idx="6">
                  <c:v>31.472397231314616</c:v>
                </c:pt>
                <c:pt idx="7">
                  <c:v>33.489886179358201</c:v>
                </c:pt>
                <c:pt idx="8">
                  <c:v>35.63578018835959</c:v>
                </c:pt>
                <c:pt idx="9">
                  <c:v>37.918183968521419</c:v>
                </c:pt>
                <c:pt idx="10">
                  <c:v>40.345708769606695</c:v>
                </c:pt>
                <c:pt idx="11">
                  <c:v>42.927503664517445</c:v>
                </c:pt>
                <c:pt idx="12">
                  <c:v>45.823777332121502</c:v>
                </c:pt>
                <c:pt idx="13">
                  <c:v>48.915200816142622</c:v>
                </c:pt>
                <c:pt idx="14">
                  <c:v>52.214905733314801</c:v>
                </c:pt>
                <c:pt idx="15">
                  <c:v>55.736906138623077</c:v>
                </c:pt>
                <c:pt idx="16">
                  <c:v>59.496157743979438</c:v>
                </c:pt>
                <c:pt idx="17">
                  <c:v>61.872567634339923</c:v>
                </c:pt>
                <c:pt idx="18">
                  <c:v>64.343556094379394</c:v>
                </c:pt>
                <c:pt idx="19">
                  <c:v>66.912873539081218</c:v>
                </c:pt>
                <c:pt idx="20">
                  <c:v>69.584418546325267</c:v>
                </c:pt>
                <c:pt idx="21">
                  <c:v>72.362243687472159</c:v>
                </c:pt>
                <c:pt idx="22">
                  <c:v>74.464459638700518</c:v>
                </c:pt>
                <c:pt idx="23">
                  <c:v>76.115432060062389</c:v>
                </c:pt>
                <c:pt idx="24">
                  <c:v>77.40600339901772</c:v>
                </c:pt>
                <c:pt idx="25">
                  <c:v>78.40872886523718</c:v>
                </c:pt>
                <c:pt idx="26">
                  <c:v>79.181557627819402</c:v>
                </c:pt>
                <c:pt idx="27">
                  <c:v>79.770773023132989</c:v>
                </c:pt>
                <c:pt idx="28">
                  <c:v>80.213340921144606</c:v>
                </c:pt>
                <c:pt idx="29">
                  <c:v>80.538785378525006</c:v>
                </c:pt>
                <c:pt idx="30">
                  <c:v>80.770686729168716</c:v>
                </c:pt>
                <c:pt idx="31">
                  <c:v>80.927878111037685</c:v>
                </c:pt>
                <c:pt idx="32">
                  <c:v>81.025401131178569</c:v>
                </c:pt>
                <c:pt idx="33">
                  <c:v>81.075269152570357</c:v>
                </c:pt>
                <c:pt idx="34">
                  <c:v>81.087076927469539</c:v>
                </c:pt>
                <c:pt idx="35">
                  <c:v>81.068487507179995</c:v>
                </c:pt>
                <c:pt idx="36">
                  <c:v>81.025621132343744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1F-424E-8E2E-DC2D1FCB7E3B}"/>
            </c:ext>
          </c:extLst>
        </c:ser>
        <c:ser>
          <c:idx val="1"/>
          <c:order val="1"/>
          <c:tx>
            <c:strRef>
              <c:f>'input_EnBW Model 2026'!$B$3</c:f>
              <c:strCache>
                <c:ptCount val="1"/>
                <c:pt idx="0">
                  <c:v>KVE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'input_EnBW Model 2026'!$C$1:$AM$1</c:f>
              <c:numCache>
                <c:formatCode>General</c:formatCode>
                <c:ptCount val="3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  <c:pt idx="32">
                  <c:v>2056</c:v>
                </c:pt>
                <c:pt idx="33">
                  <c:v>2057</c:v>
                </c:pt>
                <c:pt idx="34">
                  <c:v>2058</c:v>
                </c:pt>
                <c:pt idx="35">
                  <c:v>2059</c:v>
                </c:pt>
                <c:pt idx="36">
                  <c:v>2060</c:v>
                </c:pt>
              </c:numCache>
            </c:numRef>
          </c:cat>
          <c:val>
            <c:numRef>
              <c:f>'input_EnBW Model 2026'!$C$3:$AM$3</c:f>
              <c:numCache>
                <c:formatCode>General</c:formatCode>
                <c:ptCount val="37"/>
                <c:pt idx="0">
                  <c:v>20.028513599999997</c:v>
                </c:pt>
                <c:pt idx="1">
                  <c:v>21.049012928571429</c:v>
                </c:pt>
                <c:pt idx="2">
                  <c:v>22.108104577928568</c:v>
                </c:pt>
                <c:pt idx="3">
                  <c:v>23.205700423253568</c:v>
                </c:pt>
                <c:pt idx="4">
                  <c:v>24.34147178938553</c:v>
                </c:pt>
                <c:pt idx="5">
                  <c:v>25.514813095234981</c:v>
                </c:pt>
                <c:pt idx="6">
                  <c:v>26.724801340300925</c:v>
                </c:pt>
                <c:pt idx="7">
                  <c:v>28.104955948518043</c:v>
                </c:pt>
                <c:pt idx="8">
                  <c:v>29.555620721582496</c:v>
                </c:pt>
                <c:pt idx="9">
                  <c:v>31.080351272447519</c:v>
                </c:pt>
                <c:pt idx="10">
                  <c:v>32.682879633680592</c:v>
                </c:pt>
                <c:pt idx="11">
                  <c:v>34.367122830640874</c:v>
                </c:pt>
                <c:pt idx="12">
                  <c:v>36.256260037250364</c:v>
                </c:pt>
                <c:pt idx="13">
                  <c:v>38.249039508337866</c:v>
                </c:pt>
                <c:pt idx="14">
                  <c:v>40.351136127453202</c:v>
                </c:pt>
                <c:pt idx="15">
                  <c:v>42.568534885584562</c:v>
                </c:pt>
                <c:pt idx="16">
                  <c:v>44.907547792799321</c:v>
                </c:pt>
                <c:pt idx="17">
                  <c:v>46.701255903932662</c:v>
                </c:pt>
                <c:pt idx="18">
                  <c:v>48.566351677716604</c:v>
                </c:pt>
                <c:pt idx="19">
                  <c:v>50.505665917794488</c:v>
                </c:pt>
                <c:pt idx="20">
                  <c:v>52.522141260785304</c:v>
                </c:pt>
                <c:pt idx="21">
                  <c:v>54.61883657719364</c:v>
                </c:pt>
                <c:pt idx="22">
                  <c:v>56.310444967723853</c:v>
                </c:pt>
                <c:pt idx="23">
                  <c:v>57.729151741779084</c:v>
                </c:pt>
                <c:pt idx="24">
                  <c:v>58.916271585190508</c:v>
                </c:pt>
                <c:pt idx="25">
                  <c:v>59.906865064410546</c:v>
                </c:pt>
                <c:pt idx="26">
                  <c:v>60.730685281895425</c:v>
                </c:pt>
                <c:pt idx="27">
                  <c:v>61.412981252558808</c:v>
                </c:pt>
                <c:pt idx="28">
                  <c:v>61.975179685229293</c:v>
                </c:pt>
                <c:pt idx="29">
                  <c:v>62.435463571640383</c:v>
                </c:pt>
                <c:pt idx="30">
                  <c:v>62.809263200610367</c:v>
                </c:pt>
                <c:pt idx="31">
                  <c:v>63.109672851602895</c:v>
                </c:pt>
                <c:pt idx="32">
                  <c:v>63.347804416034926</c:v>
                </c:pt>
                <c:pt idx="33">
                  <c:v>63.533087492402863</c:v>
                </c:pt>
                <c:pt idx="34">
                  <c:v>63.673524056601764</c:v>
                </c:pt>
                <c:pt idx="35">
                  <c:v>63.775904582739606</c:v>
                </c:pt>
                <c:pt idx="36">
                  <c:v>63.845991449215809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1F-424E-8E2E-DC2D1FCB7E3B}"/>
            </c:ext>
          </c:extLst>
        </c:ser>
        <c:ser>
          <c:idx val="2"/>
          <c:order val="2"/>
          <c:tx>
            <c:strRef>
              <c:f>'input_EnBW Model 2026'!$B$4</c:f>
              <c:strCache>
                <c:ptCount val="1"/>
                <c:pt idx="0">
                  <c:v>VWE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'input_EnBW Model 2026'!$C$1:$AM$1</c:f>
              <c:numCache>
                <c:formatCode>General</c:formatCode>
                <c:ptCount val="3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  <c:pt idx="32">
                  <c:v>2056</c:v>
                </c:pt>
                <c:pt idx="33">
                  <c:v>2057</c:v>
                </c:pt>
                <c:pt idx="34">
                  <c:v>2058</c:v>
                </c:pt>
                <c:pt idx="35">
                  <c:v>2059</c:v>
                </c:pt>
                <c:pt idx="36">
                  <c:v>2060</c:v>
                </c:pt>
              </c:numCache>
            </c:numRef>
          </c:cat>
          <c:val>
            <c:numRef>
              <c:f>'input_EnBW Model 2026'!$C$4:$AM$4</c:f>
              <c:numCache>
                <c:formatCode>General</c:formatCode>
                <c:ptCount val="37"/>
                <c:pt idx="0">
                  <c:v>20.028513599999997</c:v>
                </c:pt>
                <c:pt idx="1">
                  <c:v>21.762956057142855</c:v>
                </c:pt>
                <c:pt idx="2">
                  <c:v>23.639350163297141</c:v>
                </c:pt>
                <c:pt idx="3">
                  <c:v>25.668229511687656</c:v>
                </c:pt>
                <c:pt idx="4">
                  <c:v>27.860758560563404</c:v>
                </c:pt>
                <c:pt idx="5">
                  <c:v>30.228747283862013</c:v>
                </c:pt>
                <c:pt idx="6">
                  <c:v>32.784661764923577</c:v>
                </c:pt>
                <c:pt idx="7">
                  <c:v>35.02927316666014</c:v>
                </c:pt>
                <c:pt idx="8">
                  <c:v>37.425214794509621</c:v>
                </c:pt>
                <c:pt idx="9">
                  <c:v>39.982489161125187</c:v>
                </c:pt>
                <c:pt idx="10">
                  <c:v>42.711742592376446</c:v>
                </c:pt>
                <c:pt idx="11">
                  <c:v>45.624305135361212</c:v>
                </c:pt>
                <c:pt idx="12">
                  <c:v>48.928733739896458</c:v>
                </c:pt>
                <c:pt idx="13">
                  <c:v>52.471509601465954</c:v>
                </c:pt>
                <c:pt idx="14">
                  <c:v>56.269746373929827</c:v>
                </c:pt>
                <c:pt idx="15">
                  <c:v>60.341780229121881</c:v>
                </c:pt>
                <c:pt idx="16">
                  <c:v>64.707256683233723</c:v>
                </c:pt>
                <c:pt idx="17">
                  <c:v>67.450835915042774</c:v>
                </c:pt>
                <c:pt idx="18">
                  <c:v>70.309382151444012</c:v>
                </c:pt>
                <c:pt idx="19">
                  <c:v>73.287645142989405</c:v>
                </c:pt>
                <c:pt idx="20">
                  <c:v>76.390567440660021</c:v>
                </c:pt>
                <c:pt idx="21">
                  <c:v>79.623292045557704</c:v>
                </c:pt>
                <c:pt idx="22">
                  <c:v>82.125536542172014</c:v>
                </c:pt>
                <c:pt idx="23">
                  <c:v>84.124299914334571</c:v>
                </c:pt>
                <c:pt idx="24">
                  <c:v>85.706847085247873</c:v>
                </c:pt>
                <c:pt idx="25">
                  <c:v>86.945323508722183</c:v>
                </c:pt>
                <c:pt idx="26">
                  <c:v>87.89937383248845</c:v>
                </c:pt>
                <c:pt idx="27">
                  <c:v>88.618307168650034</c:v>
                </c:pt>
                <c:pt idx="28">
                  <c:v>89.142887445476731</c:v>
                </c:pt>
                <c:pt idx="29">
                  <c:v>89.506813736568375</c:v>
                </c:pt>
                <c:pt idx="30">
                  <c:v>89.73794423391567</c:v>
                </c:pt>
                <c:pt idx="31">
                  <c:v>89.859308244420163</c:v>
                </c:pt>
                <c:pt idx="32">
                  <c:v>89.889942909076126</c:v>
                </c:pt>
                <c:pt idx="33">
                  <c:v>89.845584992409513</c:v>
                </c:pt>
                <c:pt idx="34">
                  <c:v>89.739242837102523</c:v>
                </c:pt>
                <c:pt idx="35">
                  <c:v>89.58166923492557</c:v>
                </c:pt>
                <c:pt idx="36">
                  <c:v>89.381752372943893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1F-424E-8E2E-DC2D1FCB7E3B}"/>
            </c:ext>
          </c:extLst>
        </c:ser>
        <c:ser>
          <c:idx val="3"/>
          <c:order val="3"/>
          <c:tx>
            <c:strRef>
              <c:f>'input_EnBW Model 2026'!$B$5</c:f>
              <c:strCache>
                <c:ptCount val="1"/>
                <c:pt idx="0">
                  <c:v>VNI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'input_EnBW Model 2026'!$C$1:$AM$1</c:f>
              <c:numCache>
                <c:formatCode>General</c:formatCode>
                <c:ptCount val="3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  <c:pt idx="32">
                  <c:v>2056</c:v>
                </c:pt>
                <c:pt idx="33">
                  <c:v>2057</c:v>
                </c:pt>
                <c:pt idx="34">
                  <c:v>2058</c:v>
                </c:pt>
                <c:pt idx="35">
                  <c:v>2059</c:v>
                </c:pt>
                <c:pt idx="36">
                  <c:v>2060</c:v>
                </c:pt>
              </c:numCache>
            </c:numRef>
          </c:cat>
          <c:val>
            <c:numRef>
              <c:f>'input_EnBW Model 2026'!$C$5:$AM$5</c:f>
              <c:numCache>
                <c:formatCode>General</c:formatCode>
                <c:ptCount val="37"/>
                <c:pt idx="0">
                  <c:v>20.028513599999997</c:v>
                </c:pt>
                <c:pt idx="1">
                  <c:v>20.799962999999998</c:v>
                </c:pt>
                <c:pt idx="2">
                  <c:v>21.597575453999998</c:v>
                </c:pt>
                <c:pt idx="3">
                  <c:v>22.421993113799996</c:v>
                </c:pt>
                <c:pt idx="4">
                  <c:v>23.273854662239998</c:v>
                </c:pt>
                <c:pt idx="5">
                  <c:v>24.153793247099244</c:v>
                </c:pt>
                <c:pt idx="6">
                  <c:v>25.062434211366561</c:v>
                </c:pt>
                <c:pt idx="7">
                  <c:v>25.836571071165249</c:v>
                </c:pt>
                <c:pt idx="8">
                  <c:v>26.631624789517204</c:v>
                </c:pt>
                <c:pt idx="9">
                  <c:v>27.447993528311308</c:v>
                </c:pt>
                <c:pt idx="10">
                  <c:v>28.286072372701071</c:v>
                </c:pt>
                <c:pt idx="11">
                  <c:v>29.146252389398306</c:v>
                </c:pt>
                <c:pt idx="12">
                  <c:v>30.218675818292983</c:v>
                </c:pt>
                <c:pt idx="13">
                  <c:v>31.329782435419368</c:v>
                </c:pt>
                <c:pt idx="14">
                  <c:v>32.480931951059503</c:v>
                </c:pt>
                <c:pt idx="15">
                  <c:v>33.673530196525213</c:v>
                </c:pt>
                <c:pt idx="16">
                  <c:v>34.909030607796339</c:v>
                </c:pt>
                <c:pt idx="17">
                  <c:v>36.014950484793687</c:v>
                </c:pt>
                <c:pt idx="18">
                  <c:v>37.154946796938127</c:v>
                </c:pt>
                <c:pt idx="19">
                  <c:v>38.330030039059466</c:v>
                </c:pt>
                <c:pt idx="20">
                  <c:v>39.541238993360167</c:v>
                </c:pt>
                <c:pt idx="21">
                  <c:v>40.789641447048233</c:v>
                </c:pt>
                <c:pt idx="22">
                  <c:v>41.755726353943089</c:v>
                </c:pt>
                <c:pt idx="23">
                  <c:v>42.536140379278436</c:v>
                </c:pt>
                <c:pt idx="24">
                  <c:v>43.159469342785059</c:v>
                </c:pt>
                <c:pt idx="25">
                  <c:v>43.649900913109583</c:v>
                </c:pt>
                <c:pt idx="26">
                  <c:v>44.027900872195815</c:v>
                </c:pt>
                <c:pt idx="27">
                  <c:v>44.310785458750999</c:v>
                </c:pt>
                <c:pt idx="28">
                  <c:v>44.513205751123081</c:v>
                </c:pt>
                <c:pt idx="29">
                  <c:v>44.647557600037572</c:v>
                </c:pt>
                <c:pt idx="30">
                  <c:v>44.724328547621433</c:v>
                </c:pt>
                <c:pt idx="31">
                  <c:v>44.752391413341336</c:v>
                </c:pt>
                <c:pt idx="32">
                  <c:v>44.739252741103904</c:v>
                </c:pt>
                <c:pt idx="33">
                  <c:v>44.691263043485719</c:v>
                </c:pt>
                <c:pt idx="34">
                  <c:v>44.6137947138944</c:v>
                </c:pt>
                <c:pt idx="35">
                  <c:v>44.51139257578636</c:v>
                </c:pt>
                <c:pt idx="36">
                  <c:v>44.387901274800491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1F-424E-8E2E-DC2D1FCB7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7080816"/>
        <c:axId val="357081896"/>
      </c:lineChart>
      <c:catAx>
        <c:axId val="35708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7081896"/>
        <c:crosses val="autoZero"/>
        <c:auto val="1"/>
        <c:lblAlgn val="ctr"/>
        <c:lblOffset val="100"/>
        <c:noMultiLvlLbl val="0"/>
      </c:catAx>
      <c:valAx>
        <c:axId val="35708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708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241306</xdr:colOff>
      <xdr:row>6</xdr:row>
      <xdr:rowOff>114306</xdr:rowOff>
    </xdr:from>
    <xdr:to>
      <xdr:col>26</xdr:col>
      <xdr:colOff>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0244C8-682B-0BE3-251C-2B7F355FA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171450</xdr:rowOff>
    </xdr:from>
    <xdr:to>
      <xdr:col>16</xdr:col>
      <xdr:colOff>144780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636C76-29F0-7BAC-1644-0A1D6B5EA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69BE8-9EB1-460C-A934-48B2FF4E0BAF}">
  <dimension ref="A1:C21"/>
  <sheetViews>
    <sheetView workbookViewId="0">
      <selection activeCell="F15" sqref="F15"/>
    </sheetView>
  </sheetViews>
  <sheetFormatPr baseColWidth="10" defaultColWidth="8.83203125" defaultRowHeight="15" x14ac:dyDescent="0.2"/>
  <cols>
    <col min="2" max="2" width="21.5" customWidth="1"/>
  </cols>
  <sheetData>
    <row r="1" spans="1:3" x14ac:dyDescent="0.2">
      <c r="A1" t="s">
        <v>49</v>
      </c>
    </row>
    <row r="2" spans="1:3" x14ac:dyDescent="0.2">
      <c r="B2" t="s">
        <v>46</v>
      </c>
      <c r="C2" t="s">
        <v>51</v>
      </c>
    </row>
    <row r="3" spans="1:3" x14ac:dyDescent="0.2">
      <c r="B3" t="s">
        <v>50</v>
      </c>
      <c r="C3" t="s">
        <v>52</v>
      </c>
    </row>
    <row r="7" spans="1:3" x14ac:dyDescent="0.2">
      <c r="B7" s="24" t="s">
        <v>53</v>
      </c>
    </row>
    <row r="8" spans="1:3" x14ac:dyDescent="0.2">
      <c r="B8" s="24" t="s">
        <v>54</v>
      </c>
    </row>
    <row r="9" spans="1:3" x14ac:dyDescent="0.2">
      <c r="B9" s="24" t="s">
        <v>55</v>
      </c>
    </row>
    <row r="10" spans="1:3" x14ac:dyDescent="0.2">
      <c r="B10" s="25" t="s">
        <v>56</v>
      </c>
    </row>
    <row r="11" spans="1:3" x14ac:dyDescent="0.2">
      <c r="B11" s="25" t="s">
        <v>57</v>
      </c>
    </row>
    <row r="12" spans="1:3" x14ac:dyDescent="0.2">
      <c r="B12" s="24" t="s">
        <v>58</v>
      </c>
    </row>
    <row r="13" spans="1:3" x14ac:dyDescent="0.2">
      <c r="B13" s="25" t="s">
        <v>59</v>
      </c>
    </row>
    <row r="14" spans="1:3" x14ac:dyDescent="0.2">
      <c r="B14" s="26" t="s">
        <v>60</v>
      </c>
    </row>
    <row r="15" spans="1:3" x14ac:dyDescent="0.2">
      <c r="B15" s="26"/>
    </row>
    <row r="16" spans="1:3" x14ac:dyDescent="0.2">
      <c r="B16" s="24" t="s">
        <v>61</v>
      </c>
    </row>
    <row r="17" spans="2:2" x14ac:dyDescent="0.2">
      <c r="B17" s="25" t="s">
        <v>62</v>
      </c>
    </row>
    <row r="18" spans="2:2" x14ac:dyDescent="0.2">
      <c r="B18" s="26" t="s">
        <v>63</v>
      </c>
    </row>
    <row r="19" spans="2:2" x14ac:dyDescent="0.2">
      <c r="B19" s="26"/>
    </row>
    <row r="20" spans="2:2" x14ac:dyDescent="0.2">
      <c r="B20" s="25" t="s">
        <v>64</v>
      </c>
    </row>
    <row r="21" spans="2:2" x14ac:dyDescent="0.2">
      <c r="B21" s="26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:B31"/>
    </sheetView>
  </sheetViews>
  <sheetFormatPr baseColWidth="10" defaultColWidth="8.6640625" defaultRowHeight="15" x14ac:dyDescent="0.2"/>
  <cols>
    <col min="1" max="1" width="18" customWidth="1"/>
    <col min="2" max="13" width="8" customWidth="1"/>
    <col min="14" max="14" width="14" customWidth="1"/>
  </cols>
  <sheetData>
    <row r="1" spans="1:14" ht="27.75" customHeight="1" x14ac:dyDescent="0.2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15.75" customHeight="1" x14ac:dyDescent="0.2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4" ht="15" customHeight="1" x14ac:dyDescent="0.2">
      <c r="A3" s="1" t="s">
        <v>2</v>
      </c>
      <c r="B3" s="1">
        <v>2024</v>
      </c>
      <c r="C3" s="1">
        <v>2025</v>
      </c>
      <c r="D3" s="1">
        <v>2026</v>
      </c>
      <c r="E3" s="1">
        <v>2027</v>
      </c>
      <c r="F3" s="1">
        <v>2028</v>
      </c>
      <c r="G3" s="1">
        <v>2029</v>
      </c>
      <c r="H3" s="1">
        <v>2030</v>
      </c>
      <c r="I3" s="1">
        <v>2031</v>
      </c>
      <c r="J3" s="1">
        <v>2032</v>
      </c>
      <c r="K3" s="1">
        <v>2033</v>
      </c>
      <c r="L3" s="1">
        <v>2034</v>
      </c>
      <c r="M3" s="1">
        <v>2035</v>
      </c>
      <c r="N3" s="1" t="s">
        <v>3</v>
      </c>
    </row>
    <row r="4" spans="1:14" ht="15" customHeight="1" x14ac:dyDescent="0.2">
      <c r="A4" s="2" t="s">
        <v>4</v>
      </c>
      <c r="B4" s="3">
        <v>20.6</v>
      </c>
      <c r="C4" s="3">
        <v>22.4</v>
      </c>
      <c r="D4" s="3">
        <v>24.3</v>
      </c>
      <c r="E4" s="3">
        <v>26.3</v>
      </c>
      <c r="F4" s="3">
        <v>28.3</v>
      </c>
      <c r="G4" s="3">
        <v>30.5</v>
      </c>
      <c r="H4" s="3">
        <v>32.700000000000003</v>
      </c>
      <c r="I4" s="3">
        <v>34.9</v>
      </c>
      <c r="J4" s="3">
        <v>37.200000000000003</v>
      </c>
      <c r="K4" s="3">
        <v>39.5</v>
      </c>
      <c r="L4" s="3">
        <v>41.7</v>
      </c>
      <c r="M4" s="3">
        <v>43.9</v>
      </c>
      <c r="N4" s="4">
        <f t="shared" ref="N4:N30" si="0">(M4/B4)^(1/11)-1</f>
        <v>7.1204730326663856E-2</v>
      </c>
    </row>
    <row r="5" spans="1:14" ht="15" customHeight="1" x14ac:dyDescent="0.2">
      <c r="A5" s="5" t="s">
        <v>5</v>
      </c>
      <c r="B5" s="6">
        <v>11</v>
      </c>
      <c r="C5" s="6">
        <v>12.2</v>
      </c>
      <c r="D5" s="6">
        <v>13.4</v>
      </c>
      <c r="E5" s="6">
        <v>14.7</v>
      </c>
      <c r="F5" s="6">
        <v>16.100000000000001</v>
      </c>
      <c r="G5" s="6">
        <v>17.5</v>
      </c>
      <c r="H5" s="6">
        <v>19</v>
      </c>
      <c r="I5" s="6">
        <v>20.5</v>
      </c>
      <c r="J5" s="6">
        <v>22.1</v>
      </c>
      <c r="K5" s="6">
        <v>23.7</v>
      </c>
      <c r="L5" s="6">
        <v>25.2</v>
      </c>
      <c r="M5" s="6">
        <v>26.8</v>
      </c>
      <c r="N5" s="7">
        <f t="shared" si="0"/>
        <v>8.4322260144780392E-2</v>
      </c>
    </row>
    <row r="6" spans="1:14" ht="15" customHeight="1" x14ac:dyDescent="0.2">
      <c r="A6" s="2" t="s">
        <v>6</v>
      </c>
      <c r="B6" s="3">
        <v>12.6</v>
      </c>
      <c r="C6" s="3">
        <v>13.4</v>
      </c>
      <c r="D6" s="3">
        <v>14.3</v>
      </c>
      <c r="E6" s="3">
        <v>15.2</v>
      </c>
      <c r="F6" s="3">
        <v>16.100000000000001</v>
      </c>
      <c r="G6" s="3">
        <v>17.100000000000001</v>
      </c>
      <c r="H6" s="3">
        <v>18.100000000000001</v>
      </c>
      <c r="I6" s="3">
        <v>19.100000000000001</v>
      </c>
      <c r="J6" s="3">
        <v>20.100000000000001</v>
      </c>
      <c r="K6" s="3">
        <v>21.1</v>
      </c>
      <c r="L6" s="3">
        <v>22.1</v>
      </c>
      <c r="M6" s="3">
        <v>23.1</v>
      </c>
      <c r="N6" s="4">
        <f t="shared" si="0"/>
        <v>5.6649713271726299E-2</v>
      </c>
    </row>
    <row r="7" spans="1:14" ht="15" customHeight="1" x14ac:dyDescent="0.2">
      <c r="A7" s="5" t="s">
        <v>7</v>
      </c>
      <c r="B7" s="6">
        <v>3.9</v>
      </c>
      <c r="C7" s="6">
        <v>4.9000000000000004</v>
      </c>
      <c r="D7" s="6">
        <v>6</v>
      </c>
      <c r="E7" s="6">
        <v>7.1</v>
      </c>
      <c r="F7" s="6">
        <v>8.1999999999999993</v>
      </c>
      <c r="G7" s="6">
        <v>9.4</v>
      </c>
      <c r="H7" s="6">
        <v>10.6</v>
      </c>
      <c r="I7" s="6">
        <v>11.9</v>
      </c>
      <c r="J7" s="6">
        <v>13.1</v>
      </c>
      <c r="K7" s="6">
        <v>14.3</v>
      </c>
      <c r="L7" s="6">
        <v>15.5</v>
      </c>
      <c r="M7" s="6">
        <v>16.7</v>
      </c>
      <c r="N7" s="7">
        <f t="shared" si="0"/>
        <v>0.14136065308829493</v>
      </c>
    </row>
    <row r="8" spans="1:14" ht="15" customHeight="1" x14ac:dyDescent="0.2">
      <c r="A8" s="2" t="s">
        <v>8</v>
      </c>
      <c r="B8" s="3">
        <v>2.9</v>
      </c>
      <c r="C8" s="3">
        <v>3.8</v>
      </c>
      <c r="D8" s="3">
        <v>4.8</v>
      </c>
      <c r="E8" s="3">
        <v>5.8</v>
      </c>
      <c r="F8" s="3">
        <v>6.8</v>
      </c>
      <c r="G8" s="3">
        <v>7.9</v>
      </c>
      <c r="H8" s="3">
        <v>9.1</v>
      </c>
      <c r="I8" s="3">
        <v>10.199999999999999</v>
      </c>
      <c r="J8" s="3">
        <v>11.4</v>
      </c>
      <c r="K8" s="3">
        <v>12.6</v>
      </c>
      <c r="L8" s="3">
        <v>13.7</v>
      </c>
      <c r="M8" s="3">
        <v>14.9</v>
      </c>
      <c r="N8" s="4">
        <f t="shared" si="0"/>
        <v>0.16042510394769049</v>
      </c>
    </row>
    <row r="9" spans="1:14" ht="15" customHeight="1" x14ac:dyDescent="0.2">
      <c r="A9" s="5" t="s">
        <v>9</v>
      </c>
      <c r="B9" s="6">
        <v>6.8</v>
      </c>
      <c r="C9" s="6">
        <v>7.5</v>
      </c>
      <c r="D9" s="6">
        <v>8.1</v>
      </c>
      <c r="E9" s="6">
        <v>8.8000000000000007</v>
      </c>
      <c r="F9" s="6">
        <v>9.4</v>
      </c>
      <c r="G9" s="6">
        <v>10.1</v>
      </c>
      <c r="H9" s="6">
        <v>10.7</v>
      </c>
      <c r="I9" s="6">
        <v>11.4</v>
      </c>
      <c r="J9" s="6">
        <v>12</v>
      </c>
      <c r="K9" s="6">
        <v>12.6</v>
      </c>
      <c r="L9" s="6">
        <v>13.1</v>
      </c>
      <c r="M9" s="6">
        <v>13.6</v>
      </c>
      <c r="N9" s="7">
        <f t="shared" si="0"/>
        <v>6.5041089439962674E-2</v>
      </c>
    </row>
    <row r="10" spans="1:14" ht="15" customHeight="1" x14ac:dyDescent="0.2">
      <c r="A10" s="2" t="s">
        <v>10</v>
      </c>
      <c r="B10" s="3">
        <v>8.4</v>
      </c>
      <c r="C10" s="3">
        <v>8.8000000000000007</v>
      </c>
      <c r="D10" s="3">
        <v>9.3000000000000007</v>
      </c>
      <c r="E10" s="3">
        <v>9.6999999999999993</v>
      </c>
      <c r="F10" s="3">
        <v>10.199999999999999</v>
      </c>
      <c r="G10" s="3">
        <v>10.7</v>
      </c>
      <c r="H10" s="3">
        <v>11.2</v>
      </c>
      <c r="I10" s="3">
        <v>11.7</v>
      </c>
      <c r="J10" s="3">
        <v>12.2</v>
      </c>
      <c r="K10" s="3">
        <v>12.7</v>
      </c>
      <c r="L10" s="3">
        <v>13.1</v>
      </c>
      <c r="M10" s="3">
        <v>13.6</v>
      </c>
      <c r="N10" s="4">
        <f t="shared" si="0"/>
        <v>4.4776996792131207E-2</v>
      </c>
    </row>
    <row r="11" spans="1:14" ht="15" customHeight="1" x14ac:dyDescent="0.2">
      <c r="A11" s="5" t="s">
        <v>11</v>
      </c>
      <c r="B11" s="6">
        <v>5.3</v>
      </c>
      <c r="C11" s="6">
        <v>5.8</v>
      </c>
      <c r="D11" s="6">
        <v>6.4</v>
      </c>
      <c r="E11" s="6">
        <v>7</v>
      </c>
      <c r="F11" s="6">
        <v>7.6</v>
      </c>
      <c r="G11" s="6">
        <v>8.3000000000000007</v>
      </c>
      <c r="H11" s="6">
        <v>9.1</v>
      </c>
      <c r="I11" s="6">
        <v>9.8000000000000007</v>
      </c>
      <c r="J11" s="6">
        <v>10.6</v>
      </c>
      <c r="K11" s="6">
        <v>11.3</v>
      </c>
      <c r="L11" s="6">
        <v>12.1</v>
      </c>
      <c r="M11" s="6">
        <v>12.9</v>
      </c>
      <c r="N11" s="7">
        <f t="shared" si="0"/>
        <v>8.4225057583137586E-2</v>
      </c>
    </row>
    <row r="12" spans="1:14" ht="15" customHeight="1" x14ac:dyDescent="0.2">
      <c r="A12" s="2" t="s">
        <v>12</v>
      </c>
      <c r="B12" s="3">
        <v>3.6</v>
      </c>
      <c r="C12" s="3">
        <v>4.0999999999999996</v>
      </c>
      <c r="D12" s="3">
        <v>4.5999999999999996</v>
      </c>
      <c r="E12" s="3">
        <v>5.0999999999999996</v>
      </c>
      <c r="F12" s="3">
        <v>5.7</v>
      </c>
      <c r="G12" s="3">
        <v>6.3</v>
      </c>
      <c r="H12" s="3">
        <v>7</v>
      </c>
      <c r="I12" s="3">
        <v>7.7</v>
      </c>
      <c r="J12" s="3">
        <v>8.4</v>
      </c>
      <c r="K12" s="3">
        <v>9.1999999999999993</v>
      </c>
      <c r="L12" s="3">
        <v>9.9</v>
      </c>
      <c r="M12" s="3">
        <v>10.7</v>
      </c>
      <c r="N12" s="4">
        <f t="shared" si="0"/>
        <v>0.10409740415487634</v>
      </c>
    </row>
    <row r="13" spans="1:14" ht="15" customHeight="1" x14ac:dyDescent="0.2">
      <c r="A13" s="5" t="s">
        <v>13</v>
      </c>
      <c r="B13" s="6">
        <v>2</v>
      </c>
      <c r="C13" s="6">
        <v>2.6</v>
      </c>
      <c r="D13" s="6">
        <v>3.3</v>
      </c>
      <c r="E13" s="6">
        <v>4</v>
      </c>
      <c r="F13" s="6">
        <v>4.7</v>
      </c>
      <c r="G13" s="6">
        <v>5.4</v>
      </c>
      <c r="H13" s="6">
        <v>6.1</v>
      </c>
      <c r="I13" s="6">
        <v>6.8</v>
      </c>
      <c r="J13" s="6">
        <v>7.5</v>
      </c>
      <c r="K13" s="6">
        <v>8.1999999999999993</v>
      </c>
      <c r="L13" s="6">
        <v>8.9</v>
      </c>
      <c r="M13" s="6">
        <v>9.5</v>
      </c>
      <c r="N13" s="7">
        <f t="shared" si="0"/>
        <v>0.15217275357513382</v>
      </c>
    </row>
    <row r="14" spans="1:14" ht="15" customHeight="1" x14ac:dyDescent="0.2">
      <c r="A14" s="2" t="s">
        <v>14</v>
      </c>
      <c r="B14" s="3">
        <v>1.5</v>
      </c>
      <c r="C14" s="3">
        <v>1.8</v>
      </c>
      <c r="D14" s="3">
        <v>2.2000000000000002</v>
      </c>
      <c r="E14" s="3">
        <v>2.6</v>
      </c>
      <c r="F14" s="3">
        <v>3</v>
      </c>
      <c r="G14" s="3">
        <v>3.5</v>
      </c>
      <c r="H14" s="3">
        <v>3.9</v>
      </c>
      <c r="I14" s="3">
        <v>4.4000000000000004</v>
      </c>
      <c r="J14" s="3">
        <v>4.9000000000000004</v>
      </c>
      <c r="K14" s="3">
        <v>5.3</v>
      </c>
      <c r="L14" s="3">
        <v>5.8</v>
      </c>
      <c r="M14" s="3">
        <v>6.3</v>
      </c>
      <c r="N14" s="4">
        <f t="shared" si="0"/>
        <v>0.13935490515815663</v>
      </c>
    </row>
    <row r="15" spans="1:14" ht="15" customHeight="1" x14ac:dyDescent="0.2">
      <c r="A15" s="5" t="s">
        <v>15</v>
      </c>
      <c r="B15" s="6">
        <v>2.4</v>
      </c>
      <c r="C15" s="6">
        <v>2.6</v>
      </c>
      <c r="D15" s="6">
        <v>2.9</v>
      </c>
      <c r="E15" s="6">
        <v>3.2</v>
      </c>
      <c r="F15" s="6">
        <v>3.5</v>
      </c>
      <c r="G15" s="6">
        <v>3.8</v>
      </c>
      <c r="H15" s="6">
        <v>4.0999999999999996</v>
      </c>
      <c r="I15" s="6">
        <v>4.5</v>
      </c>
      <c r="J15" s="6">
        <v>4.8</v>
      </c>
      <c r="K15" s="6">
        <v>5.0999999999999996</v>
      </c>
      <c r="L15" s="6">
        <v>5.4</v>
      </c>
      <c r="M15" s="6">
        <v>5.7</v>
      </c>
      <c r="N15" s="7">
        <f t="shared" si="0"/>
        <v>8.181061275390622E-2</v>
      </c>
    </row>
    <row r="16" spans="1:14" ht="15" customHeight="1" x14ac:dyDescent="0.2">
      <c r="A16" s="2" t="s">
        <v>16</v>
      </c>
      <c r="B16" s="3">
        <v>2.2000000000000002</v>
      </c>
      <c r="C16" s="3">
        <v>2.5</v>
      </c>
      <c r="D16" s="3">
        <v>2.7</v>
      </c>
      <c r="E16" s="3">
        <v>3</v>
      </c>
      <c r="F16" s="3">
        <v>3.2</v>
      </c>
      <c r="G16" s="3">
        <v>3.5</v>
      </c>
      <c r="H16" s="3">
        <v>3.8</v>
      </c>
      <c r="I16" s="3">
        <v>4.0999999999999996</v>
      </c>
      <c r="J16" s="3">
        <v>4.4000000000000004</v>
      </c>
      <c r="K16" s="3">
        <v>4.7</v>
      </c>
      <c r="L16" s="3">
        <v>5</v>
      </c>
      <c r="M16" s="3">
        <v>5.4</v>
      </c>
      <c r="N16" s="4">
        <f t="shared" si="0"/>
        <v>8.505540903967268E-2</v>
      </c>
    </row>
    <row r="17" spans="1:14" ht="15" customHeight="1" x14ac:dyDescent="0.2">
      <c r="A17" s="5" t="s">
        <v>17</v>
      </c>
      <c r="B17" s="6">
        <v>2.7</v>
      </c>
      <c r="C17" s="6">
        <v>2.9</v>
      </c>
      <c r="D17" s="6">
        <v>3</v>
      </c>
      <c r="E17" s="6">
        <v>3.2</v>
      </c>
      <c r="F17" s="6">
        <v>3.4</v>
      </c>
      <c r="G17" s="6">
        <v>3.5</v>
      </c>
      <c r="H17" s="6">
        <v>3.7</v>
      </c>
      <c r="I17" s="6">
        <v>3.9</v>
      </c>
      <c r="J17" s="6">
        <v>4.2</v>
      </c>
      <c r="K17" s="6">
        <v>4.4000000000000004</v>
      </c>
      <c r="L17" s="6">
        <v>4.5999999999999996</v>
      </c>
      <c r="M17" s="6">
        <v>4.8</v>
      </c>
      <c r="N17" s="7">
        <f t="shared" si="0"/>
        <v>5.3697947111507105E-2</v>
      </c>
    </row>
    <row r="18" spans="1:14" ht="15" customHeight="1" x14ac:dyDescent="0.2">
      <c r="A18" s="2" t="s">
        <v>18</v>
      </c>
      <c r="B18" s="3">
        <v>1.2</v>
      </c>
      <c r="C18" s="3">
        <v>1.5</v>
      </c>
      <c r="D18" s="3">
        <v>1.8</v>
      </c>
      <c r="E18" s="3">
        <v>2</v>
      </c>
      <c r="F18" s="3">
        <v>2.2999999999999998</v>
      </c>
      <c r="G18" s="3">
        <v>2.6</v>
      </c>
      <c r="H18" s="3">
        <v>3</v>
      </c>
      <c r="I18" s="3">
        <v>3.3</v>
      </c>
      <c r="J18" s="3">
        <v>3.6</v>
      </c>
      <c r="K18" s="3">
        <v>4</v>
      </c>
      <c r="L18" s="3">
        <v>4.3</v>
      </c>
      <c r="M18" s="3">
        <v>4.5999999999999996</v>
      </c>
      <c r="N18" s="4">
        <f t="shared" si="0"/>
        <v>0.1299322828481877</v>
      </c>
    </row>
    <row r="19" spans="1:14" ht="15" customHeight="1" x14ac:dyDescent="0.2">
      <c r="A19" s="5" t="s">
        <v>19</v>
      </c>
      <c r="B19" s="6">
        <v>1.1000000000000001</v>
      </c>
      <c r="C19" s="6">
        <v>1.2</v>
      </c>
      <c r="D19" s="6">
        <v>1.4</v>
      </c>
      <c r="E19" s="6">
        <v>1.6</v>
      </c>
      <c r="F19" s="6">
        <v>1.8</v>
      </c>
      <c r="G19" s="6">
        <v>2.1</v>
      </c>
      <c r="H19" s="6">
        <v>2.2999999999999998</v>
      </c>
      <c r="I19" s="6">
        <v>2.5</v>
      </c>
      <c r="J19" s="6">
        <v>2.8</v>
      </c>
      <c r="K19" s="6">
        <v>3</v>
      </c>
      <c r="L19" s="6">
        <v>3.3</v>
      </c>
      <c r="M19" s="6">
        <v>3.5</v>
      </c>
      <c r="N19" s="7">
        <f t="shared" si="0"/>
        <v>0.11095830509972759</v>
      </c>
    </row>
    <row r="20" spans="1:14" ht="15" customHeight="1" x14ac:dyDescent="0.2">
      <c r="A20" s="2" t="s">
        <v>20</v>
      </c>
      <c r="B20" s="3">
        <v>1.3</v>
      </c>
      <c r="C20" s="3">
        <v>1.5</v>
      </c>
      <c r="D20" s="3">
        <v>1.7</v>
      </c>
      <c r="E20" s="3">
        <v>1.8</v>
      </c>
      <c r="F20" s="3">
        <v>2</v>
      </c>
      <c r="G20" s="3">
        <v>2.2000000000000002</v>
      </c>
      <c r="H20" s="3">
        <v>2.4</v>
      </c>
      <c r="I20" s="3">
        <v>2.6</v>
      </c>
      <c r="J20" s="3">
        <v>2.8</v>
      </c>
      <c r="K20" s="3">
        <v>3.1</v>
      </c>
      <c r="L20" s="3">
        <v>3.3</v>
      </c>
      <c r="M20" s="3">
        <v>3.5</v>
      </c>
      <c r="N20" s="4">
        <f t="shared" si="0"/>
        <v>9.4213943668879363E-2</v>
      </c>
    </row>
    <row r="21" spans="1:14" ht="15" customHeight="1" x14ac:dyDescent="0.2">
      <c r="A21" s="5" t="s">
        <v>21</v>
      </c>
      <c r="B21" s="6">
        <v>1.6</v>
      </c>
      <c r="C21" s="6">
        <v>1.7</v>
      </c>
      <c r="D21" s="6">
        <v>1.8</v>
      </c>
      <c r="E21" s="6">
        <v>1.9</v>
      </c>
      <c r="F21" s="6">
        <v>2</v>
      </c>
      <c r="G21" s="6">
        <v>2.2000000000000002</v>
      </c>
      <c r="H21" s="6">
        <v>2.2999999999999998</v>
      </c>
      <c r="I21" s="6">
        <v>2.5</v>
      </c>
      <c r="J21" s="6">
        <v>2.6</v>
      </c>
      <c r="K21" s="6">
        <v>2.8</v>
      </c>
      <c r="L21" s="6">
        <v>3</v>
      </c>
      <c r="M21" s="6">
        <v>3.1</v>
      </c>
      <c r="N21" s="7">
        <f t="shared" si="0"/>
        <v>6.1971551450523688E-2</v>
      </c>
    </row>
    <row r="22" spans="1:14" ht="15" customHeight="1" x14ac:dyDescent="0.2">
      <c r="A22" s="2" t="s">
        <v>22</v>
      </c>
      <c r="B22" s="3">
        <v>0.5</v>
      </c>
      <c r="C22" s="3">
        <v>0.6</v>
      </c>
      <c r="D22" s="3">
        <v>0.7</v>
      </c>
      <c r="E22" s="3">
        <v>0.8</v>
      </c>
      <c r="F22" s="3">
        <v>0.9</v>
      </c>
      <c r="G22" s="3">
        <v>1</v>
      </c>
      <c r="H22" s="3">
        <v>1.2</v>
      </c>
      <c r="I22" s="3">
        <v>1.3</v>
      </c>
      <c r="J22" s="3">
        <v>1.5</v>
      </c>
      <c r="K22" s="3">
        <v>1.6</v>
      </c>
      <c r="L22" s="3">
        <v>1.8</v>
      </c>
      <c r="M22" s="3">
        <v>1.9</v>
      </c>
      <c r="N22" s="4">
        <f t="shared" si="0"/>
        <v>0.12903550554422738</v>
      </c>
    </row>
    <row r="23" spans="1:14" ht="15" customHeight="1" x14ac:dyDescent="0.2">
      <c r="A23" s="5" t="s">
        <v>23</v>
      </c>
      <c r="B23" s="6">
        <v>1</v>
      </c>
      <c r="C23" s="6">
        <v>1</v>
      </c>
      <c r="D23" s="6">
        <v>1.1000000000000001</v>
      </c>
      <c r="E23" s="6">
        <v>1.2</v>
      </c>
      <c r="F23" s="6">
        <v>1.3</v>
      </c>
      <c r="G23" s="6">
        <v>1.3</v>
      </c>
      <c r="H23" s="6">
        <v>1.4</v>
      </c>
      <c r="I23" s="6">
        <v>1.5</v>
      </c>
      <c r="J23" s="6">
        <v>1.6</v>
      </c>
      <c r="K23" s="6">
        <v>1.7</v>
      </c>
      <c r="L23" s="6">
        <v>1.8</v>
      </c>
      <c r="M23" s="6">
        <v>1.9</v>
      </c>
      <c r="N23" s="7">
        <f t="shared" si="0"/>
        <v>6.0086335390041379E-2</v>
      </c>
    </row>
    <row r="24" spans="1:14" ht="15" customHeight="1" x14ac:dyDescent="0.2">
      <c r="A24" s="2" t="s">
        <v>24</v>
      </c>
      <c r="B24" s="3">
        <v>0.5</v>
      </c>
      <c r="C24" s="3">
        <v>0.6</v>
      </c>
      <c r="D24" s="3">
        <v>0.7</v>
      </c>
      <c r="E24" s="3">
        <v>0.8</v>
      </c>
      <c r="F24" s="3">
        <v>0.9</v>
      </c>
      <c r="G24" s="3">
        <v>1.1000000000000001</v>
      </c>
      <c r="H24" s="3">
        <v>1.2</v>
      </c>
      <c r="I24" s="3">
        <v>1.3</v>
      </c>
      <c r="J24" s="3">
        <v>1.4</v>
      </c>
      <c r="K24" s="3">
        <v>1.6</v>
      </c>
      <c r="L24" s="3">
        <v>1.7</v>
      </c>
      <c r="M24" s="3">
        <v>1.9</v>
      </c>
      <c r="N24" s="4">
        <f t="shared" si="0"/>
        <v>0.12903550554422738</v>
      </c>
    </row>
    <row r="25" spans="1:14" ht="15" customHeight="1" x14ac:dyDescent="0.2">
      <c r="A25" s="5" t="s">
        <v>25</v>
      </c>
      <c r="B25" s="6">
        <v>0.5</v>
      </c>
      <c r="C25" s="6">
        <v>0.6</v>
      </c>
      <c r="D25" s="6">
        <v>0.7</v>
      </c>
      <c r="E25" s="6">
        <v>0.8</v>
      </c>
      <c r="F25" s="6">
        <v>0.9</v>
      </c>
      <c r="G25" s="6">
        <v>1</v>
      </c>
      <c r="H25" s="6">
        <v>1.1000000000000001</v>
      </c>
      <c r="I25" s="6">
        <v>1.2</v>
      </c>
      <c r="J25" s="6">
        <v>1.3</v>
      </c>
      <c r="K25" s="6">
        <v>1.4</v>
      </c>
      <c r="L25" s="6">
        <v>1.5</v>
      </c>
      <c r="M25" s="6">
        <v>1.7</v>
      </c>
      <c r="N25" s="7">
        <f t="shared" si="0"/>
        <v>0.11767687453022391</v>
      </c>
    </row>
    <row r="26" spans="1:14" ht="15" customHeight="1" x14ac:dyDescent="0.2">
      <c r="A26" s="2" t="s">
        <v>26</v>
      </c>
      <c r="B26" s="3">
        <v>0.6</v>
      </c>
      <c r="C26" s="3">
        <v>0.6</v>
      </c>
      <c r="D26" s="3">
        <v>0.7</v>
      </c>
      <c r="E26" s="3">
        <v>0.7</v>
      </c>
      <c r="F26" s="3">
        <v>0.8</v>
      </c>
      <c r="G26" s="3">
        <v>0.9</v>
      </c>
      <c r="H26" s="3">
        <v>0.9</v>
      </c>
      <c r="I26" s="3">
        <v>1</v>
      </c>
      <c r="J26" s="3">
        <v>1.1000000000000001</v>
      </c>
      <c r="K26" s="3">
        <v>1.1000000000000001</v>
      </c>
      <c r="L26" s="3">
        <v>1.2</v>
      </c>
      <c r="M26" s="3">
        <v>1.3</v>
      </c>
      <c r="N26" s="4">
        <f t="shared" si="0"/>
        <v>7.2819242829629927E-2</v>
      </c>
    </row>
    <row r="27" spans="1:14" ht="15" customHeight="1" x14ac:dyDescent="0.2">
      <c r="A27" s="5" t="s">
        <v>27</v>
      </c>
      <c r="B27" s="6">
        <v>0.6</v>
      </c>
      <c r="C27" s="6">
        <v>0.7</v>
      </c>
      <c r="D27" s="6">
        <v>0.7</v>
      </c>
      <c r="E27" s="6">
        <v>0.8</v>
      </c>
      <c r="F27" s="6">
        <v>0.8</v>
      </c>
      <c r="G27" s="6">
        <v>0.9</v>
      </c>
      <c r="H27" s="6">
        <v>0.9</v>
      </c>
      <c r="I27" s="6">
        <v>1</v>
      </c>
      <c r="J27" s="6">
        <v>1.1000000000000001</v>
      </c>
      <c r="K27" s="6">
        <v>1.1000000000000001</v>
      </c>
      <c r="L27" s="6">
        <v>1.2</v>
      </c>
      <c r="M27" s="6">
        <v>1.2</v>
      </c>
      <c r="N27" s="7">
        <f t="shared" si="0"/>
        <v>6.5041089439962674E-2</v>
      </c>
    </row>
    <row r="28" spans="1:14" ht="15" customHeight="1" x14ac:dyDescent="0.2">
      <c r="A28" s="2" t="s">
        <v>28</v>
      </c>
      <c r="B28" s="3">
        <v>0.5</v>
      </c>
      <c r="C28" s="3">
        <v>0.6</v>
      </c>
      <c r="D28" s="3">
        <v>0.6</v>
      </c>
      <c r="E28" s="3">
        <v>0.7</v>
      </c>
      <c r="F28" s="3">
        <v>0.7</v>
      </c>
      <c r="G28" s="3">
        <v>0.8</v>
      </c>
      <c r="H28" s="3">
        <v>0.9</v>
      </c>
      <c r="I28" s="3">
        <v>0.9</v>
      </c>
      <c r="J28" s="3">
        <v>1</v>
      </c>
      <c r="K28" s="3">
        <v>1.1000000000000001</v>
      </c>
      <c r="L28" s="3">
        <v>1.1000000000000001</v>
      </c>
      <c r="M28" s="3">
        <v>1.2</v>
      </c>
      <c r="N28" s="4">
        <f t="shared" si="0"/>
        <v>8.2840917916368273E-2</v>
      </c>
    </row>
    <row r="29" spans="1:14" ht="15" customHeight="1" x14ac:dyDescent="0.2">
      <c r="A29" s="5" t="s">
        <v>29</v>
      </c>
      <c r="B29" s="6">
        <v>0.4</v>
      </c>
      <c r="C29" s="6">
        <v>0.5</v>
      </c>
      <c r="D29" s="6">
        <v>0.5</v>
      </c>
      <c r="E29" s="6">
        <v>0.5</v>
      </c>
      <c r="F29" s="6">
        <v>0.6</v>
      </c>
      <c r="G29" s="6">
        <v>0.6</v>
      </c>
      <c r="H29" s="6">
        <v>0.7</v>
      </c>
      <c r="I29" s="6">
        <v>0.7</v>
      </c>
      <c r="J29" s="6">
        <v>0.8</v>
      </c>
      <c r="K29" s="6">
        <v>0.8</v>
      </c>
      <c r="L29" s="6">
        <v>0.9</v>
      </c>
      <c r="M29" s="6">
        <v>0.9</v>
      </c>
      <c r="N29" s="7">
        <f t="shared" si="0"/>
        <v>7.6506341599073657E-2</v>
      </c>
    </row>
    <row r="30" spans="1:14" ht="15" customHeight="1" x14ac:dyDescent="0.2">
      <c r="A30" s="2" t="s">
        <v>30</v>
      </c>
      <c r="B30" s="3">
        <v>0.3</v>
      </c>
      <c r="C30" s="3">
        <v>0.4</v>
      </c>
      <c r="D30" s="3">
        <v>0.4</v>
      </c>
      <c r="E30" s="3">
        <v>0.5</v>
      </c>
      <c r="F30" s="3">
        <v>0.5</v>
      </c>
      <c r="G30" s="3">
        <v>0.5</v>
      </c>
      <c r="H30" s="3">
        <v>0.6</v>
      </c>
      <c r="I30" s="3">
        <v>0.6</v>
      </c>
      <c r="J30" s="3">
        <v>0.7</v>
      </c>
      <c r="K30" s="3">
        <v>0.7</v>
      </c>
      <c r="L30" s="3">
        <v>0.8</v>
      </c>
      <c r="M30" s="3">
        <v>0.8</v>
      </c>
      <c r="N30" s="4">
        <f t="shared" si="0"/>
        <v>9.3262446085218276E-2</v>
      </c>
    </row>
    <row r="31" spans="1:14" ht="15" customHeight="1" x14ac:dyDescent="0.2">
      <c r="A31" s="5" t="s">
        <v>31</v>
      </c>
      <c r="B31" s="6">
        <v>0</v>
      </c>
      <c r="C31" s="6">
        <v>0.1</v>
      </c>
      <c r="D31" s="6">
        <v>0.1</v>
      </c>
      <c r="E31" s="6">
        <v>0.1</v>
      </c>
      <c r="F31" s="6">
        <v>0.1</v>
      </c>
      <c r="G31" s="6">
        <v>0.1</v>
      </c>
      <c r="H31" s="6">
        <v>0.1</v>
      </c>
      <c r="I31" s="6">
        <v>0.2</v>
      </c>
      <c r="J31" s="6">
        <v>0.2</v>
      </c>
      <c r="K31" s="6">
        <v>0.2</v>
      </c>
      <c r="L31" s="6">
        <v>0.2</v>
      </c>
      <c r="M31" s="6">
        <v>0.2</v>
      </c>
      <c r="N31" s="7" t="str">
        <f>IFERROR((M31/B31)^(1/11)-1,"n/a")</f>
        <v>n/a</v>
      </c>
    </row>
    <row r="32" spans="1:14" ht="15" customHeight="1" x14ac:dyDescent="0.2">
      <c r="A32" s="8" t="s">
        <v>32</v>
      </c>
      <c r="B32" s="9">
        <f t="shared" ref="B32:M32" si="1">SUM(B4:B31)</f>
        <v>95.999999999999986</v>
      </c>
      <c r="C32" s="9">
        <f t="shared" si="1"/>
        <v>106.89999999999995</v>
      </c>
      <c r="D32" s="9">
        <f t="shared" si="1"/>
        <v>118.2</v>
      </c>
      <c r="E32" s="9">
        <f t="shared" si="1"/>
        <v>129.89999999999998</v>
      </c>
      <c r="F32" s="9">
        <f t="shared" si="1"/>
        <v>141.80000000000007</v>
      </c>
      <c r="G32" s="9">
        <f t="shared" si="1"/>
        <v>154.79999999999998</v>
      </c>
      <c r="H32" s="9">
        <f t="shared" si="1"/>
        <v>168.1</v>
      </c>
      <c r="I32" s="9">
        <f t="shared" si="1"/>
        <v>181.50000000000003</v>
      </c>
      <c r="J32" s="9">
        <f t="shared" si="1"/>
        <v>195.4</v>
      </c>
      <c r="K32" s="9">
        <f t="shared" si="1"/>
        <v>208.89999999999995</v>
      </c>
      <c r="L32" s="9">
        <f t="shared" si="1"/>
        <v>222.20000000000005</v>
      </c>
      <c r="M32" s="9">
        <f t="shared" si="1"/>
        <v>235.60000000000002</v>
      </c>
      <c r="N32" s="10">
        <f>(M32/B32)^(1/11)-1</f>
        <v>8.5040185533377777E-2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201B8-C822-2E4C-82A0-A38F7E049DE0}">
  <dimension ref="A1:Q32"/>
  <sheetViews>
    <sheetView tabSelected="1" workbookViewId="0">
      <selection activeCell="O27" sqref="O27:P27"/>
    </sheetView>
  </sheetViews>
  <sheetFormatPr baseColWidth="10" defaultRowHeight="15" x14ac:dyDescent="0.2"/>
  <cols>
    <col min="1" max="1" width="14.83203125" customWidth="1"/>
    <col min="17" max="17" width="13.6640625" style="32" bestFit="1" customWidth="1"/>
  </cols>
  <sheetData>
    <row r="1" spans="1:17" x14ac:dyDescent="0.2">
      <c r="A1" s="1" t="s">
        <v>47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28">
        <v>2024</v>
      </c>
      <c r="Q1" s="32" t="s">
        <v>70</v>
      </c>
    </row>
    <row r="2" spans="1:17" x14ac:dyDescent="0.2">
      <c r="A2" s="2" t="s">
        <v>4</v>
      </c>
      <c r="B2" s="31">
        <f t="shared" ref="B2:H2" si="0">C2-$Q$2</f>
        <v>5.2</v>
      </c>
      <c r="C2" s="31">
        <f t="shared" si="0"/>
        <v>6.3000000000000007</v>
      </c>
      <c r="D2" s="31">
        <f t="shared" si="0"/>
        <v>7.4000000000000012</v>
      </c>
      <c r="E2" s="31">
        <f t="shared" si="0"/>
        <v>8.5000000000000018</v>
      </c>
      <c r="F2" s="31">
        <f t="shared" si="0"/>
        <v>9.6000000000000014</v>
      </c>
      <c r="G2" s="31">
        <f t="shared" si="0"/>
        <v>10.700000000000001</v>
      </c>
      <c r="H2" s="31">
        <f t="shared" si="0"/>
        <v>11.8</v>
      </c>
      <c r="I2" s="31">
        <f>J2-$Q$2</f>
        <v>12.9</v>
      </c>
      <c r="J2" s="29">
        <v>14</v>
      </c>
      <c r="K2" s="31">
        <f>J2+$Q$2</f>
        <v>15.1</v>
      </c>
      <c r="L2" s="31">
        <f t="shared" ref="L2:O2" si="1">K2+$Q$2</f>
        <v>16.2</v>
      </c>
      <c r="M2" s="31">
        <f t="shared" si="1"/>
        <v>17.3</v>
      </c>
      <c r="N2" s="31">
        <f t="shared" si="1"/>
        <v>18.400000000000002</v>
      </c>
      <c r="O2" s="31">
        <f t="shared" si="1"/>
        <v>19.500000000000004</v>
      </c>
      <c r="P2" s="30">
        <v>20.6</v>
      </c>
      <c r="Q2" s="32">
        <f>($P$2-$J$2)/(P1-J1)</f>
        <v>1.1000000000000003</v>
      </c>
    </row>
    <row r="3" spans="1:17" x14ac:dyDescent="0.2">
      <c r="A3" s="5" t="s">
        <v>5</v>
      </c>
      <c r="B3" s="31">
        <v>0</v>
      </c>
      <c r="C3" s="31">
        <v>0</v>
      </c>
      <c r="D3" s="31">
        <v>0</v>
      </c>
      <c r="E3" s="31">
        <v>0</v>
      </c>
      <c r="F3" s="31">
        <v>0</v>
      </c>
      <c r="G3" s="31">
        <v>0</v>
      </c>
      <c r="H3" s="31">
        <v>0</v>
      </c>
      <c r="I3" s="31">
        <f t="shared" ref="I3:J3" si="2">J3-$Q$3</f>
        <v>0.84999999999999987</v>
      </c>
      <c r="J3" s="31">
        <f t="shared" si="2"/>
        <v>2.2999999999999998</v>
      </c>
      <c r="K3" s="31">
        <f>L3-$Q$3</f>
        <v>3.75</v>
      </c>
      <c r="L3" s="29">
        <v>5.2</v>
      </c>
      <c r="M3" s="31">
        <f>L3+$Q$3</f>
        <v>6.65</v>
      </c>
      <c r="N3" s="31">
        <f t="shared" ref="N3:O3" si="3">M3+$Q$3</f>
        <v>8.1</v>
      </c>
      <c r="O3" s="31">
        <f t="shared" si="3"/>
        <v>9.5499999999999989</v>
      </c>
      <c r="P3" s="30">
        <v>11</v>
      </c>
      <c r="Q3" s="32">
        <f>(P3-L3)/(P1-L1)</f>
        <v>1.45</v>
      </c>
    </row>
    <row r="4" spans="1:17" x14ac:dyDescent="0.2">
      <c r="A4" s="5" t="s">
        <v>7</v>
      </c>
      <c r="B4" s="32">
        <v>0</v>
      </c>
      <c r="C4" s="32">
        <v>0</v>
      </c>
      <c r="D4" s="32">
        <v>0</v>
      </c>
      <c r="E4" s="32">
        <v>0</v>
      </c>
      <c r="F4" s="32">
        <v>0</v>
      </c>
      <c r="G4" s="32">
        <v>0</v>
      </c>
      <c r="H4" s="32">
        <v>0</v>
      </c>
      <c r="I4" s="31">
        <f>H4+$Q$4</f>
        <v>0.48749999999999999</v>
      </c>
      <c r="J4" s="31">
        <f t="shared" ref="J4:O4" si="4">I4+$Q$4</f>
        <v>0.97499999999999998</v>
      </c>
      <c r="K4" s="31">
        <f t="shared" si="4"/>
        <v>1.4624999999999999</v>
      </c>
      <c r="L4" s="31">
        <f t="shared" si="4"/>
        <v>1.95</v>
      </c>
      <c r="M4" s="31">
        <f t="shared" si="4"/>
        <v>2.4375</v>
      </c>
      <c r="N4" s="31">
        <f t="shared" si="4"/>
        <v>2.9249999999999998</v>
      </c>
      <c r="O4" s="31">
        <f t="shared" si="4"/>
        <v>3.4124999999999996</v>
      </c>
      <c r="P4" s="30">
        <v>3.9</v>
      </c>
      <c r="Q4" s="32">
        <f>(P4-H4)/($P$1-H1)</f>
        <v>0.48749999999999999</v>
      </c>
    </row>
    <row r="5" spans="1:17" x14ac:dyDescent="0.2">
      <c r="A5" s="2" t="s">
        <v>8</v>
      </c>
      <c r="B5" s="31">
        <f t="shared" ref="B5:J5" si="5">C5-$Q$5</f>
        <v>1.1499999999999999</v>
      </c>
      <c r="C5" s="31">
        <f t="shared" si="5"/>
        <v>1.2749999999999999</v>
      </c>
      <c r="D5" s="31">
        <f t="shared" si="5"/>
        <v>1.4</v>
      </c>
      <c r="E5" s="31">
        <f t="shared" si="5"/>
        <v>1.5249999999999999</v>
      </c>
      <c r="F5" s="31">
        <f t="shared" si="5"/>
        <v>1.65</v>
      </c>
      <c r="G5" s="31">
        <f t="shared" si="5"/>
        <v>1.7749999999999999</v>
      </c>
      <c r="H5" s="31">
        <f t="shared" si="5"/>
        <v>1.9</v>
      </c>
      <c r="I5" s="31">
        <f t="shared" si="5"/>
        <v>2.0249999999999999</v>
      </c>
      <c r="J5" s="31">
        <f t="shared" si="5"/>
        <v>2.15</v>
      </c>
      <c r="K5" s="31">
        <f>L5-$Q$5</f>
        <v>2.2749999999999999</v>
      </c>
      <c r="L5" s="29">
        <v>2.4</v>
      </c>
      <c r="M5" s="31">
        <f>L5+$Q$5</f>
        <v>2.5249999999999999</v>
      </c>
      <c r="N5" s="31">
        <f t="shared" ref="N5:O5" si="6">M5+$Q$5</f>
        <v>2.65</v>
      </c>
      <c r="O5" s="31">
        <f t="shared" si="6"/>
        <v>2.7749999999999999</v>
      </c>
      <c r="P5" s="30">
        <v>2.9</v>
      </c>
      <c r="Q5" s="32">
        <f>(P5-L5)/($P$1-L1)</f>
        <v>0.125</v>
      </c>
    </row>
    <row r="6" spans="1:17" x14ac:dyDescent="0.2">
      <c r="A6" s="5" t="s">
        <v>9</v>
      </c>
      <c r="B6" s="31">
        <v>0</v>
      </c>
      <c r="C6" s="31">
        <v>0</v>
      </c>
      <c r="D6" s="31">
        <v>0</v>
      </c>
      <c r="E6" s="31">
        <v>0</v>
      </c>
      <c r="F6" s="31">
        <v>0</v>
      </c>
      <c r="G6" s="31">
        <v>0</v>
      </c>
      <c r="H6" s="31">
        <v>0</v>
      </c>
      <c r="I6" s="31">
        <f t="shared" ref="I6" si="7">J6-$Q$6</f>
        <v>0.78000000000000014</v>
      </c>
      <c r="J6" s="31">
        <f>K6-$Q$6</f>
        <v>1.6400000000000001</v>
      </c>
      <c r="K6" s="29">
        <v>2.5</v>
      </c>
      <c r="L6" s="31">
        <f>K6+$Q$6</f>
        <v>3.36</v>
      </c>
      <c r="M6" s="31">
        <f t="shared" ref="M6:O6" si="8">L6+$Q$6</f>
        <v>4.22</v>
      </c>
      <c r="N6" s="31">
        <f t="shared" si="8"/>
        <v>5.08</v>
      </c>
      <c r="O6" s="31">
        <f t="shared" si="8"/>
        <v>5.94</v>
      </c>
      <c r="P6" s="30">
        <v>6.8</v>
      </c>
      <c r="Q6" s="32">
        <f>(P6-K6)/($P$1-K1)</f>
        <v>0.86</v>
      </c>
    </row>
    <row r="7" spans="1:17" x14ac:dyDescent="0.2">
      <c r="A7" s="2" t="s">
        <v>10</v>
      </c>
      <c r="B7" s="31">
        <v>0</v>
      </c>
      <c r="C7" s="31">
        <v>0</v>
      </c>
      <c r="D7" s="31">
        <v>0</v>
      </c>
      <c r="E7" s="31">
        <v>0</v>
      </c>
      <c r="F7" s="31">
        <v>0</v>
      </c>
      <c r="G7" s="31">
        <v>0</v>
      </c>
      <c r="H7" s="31">
        <f>I7-$Q$7</f>
        <v>0.62857142857142856</v>
      </c>
      <c r="I7" s="29">
        <v>1.6</v>
      </c>
      <c r="J7" s="31">
        <f>I7+$Q$7</f>
        <v>2.5714285714285716</v>
      </c>
      <c r="K7" s="31">
        <f t="shared" ref="K7:O7" si="9">J7+$Q$7</f>
        <v>3.5428571428571431</v>
      </c>
      <c r="L7" s="31">
        <f t="shared" si="9"/>
        <v>4.5142857142857142</v>
      </c>
      <c r="M7" s="31">
        <f t="shared" si="9"/>
        <v>5.4857142857142858</v>
      </c>
      <c r="N7" s="31">
        <f t="shared" si="9"/>
        <v>6.4571428571428573</v>
      </c>
      <c r="O7" s="31">
        <f t="shared" si="9"/>
        <v>7.4285714285714288</v>
      </c>
      <c r="P7" s="30">
        <v>8.4</v>
      </c>
      <c r="Q7" s="32">
        <f>(P7-I7)/($P$1-I1)</f>
        <v>0.97142857142857153</v>
      </c>
    </row>
    <row r="8" spans="1:17" x14ac:dyDescent="0.2">
      <c r="A8" s="5" t="s">
        <v>11</v>
      </c>
      <c r="B8" s="32">
        <v>0</v>
      </c>
      <c r="C8" s="32">
        <v>0</v>
      </c>
      <c r="D8" s="32">
        <v>0</v>
      </c>
      <c r="E8" s="32">
        <v>0</v>
      </c>
      <c r="F8" s="32">
        <v>0</v>
      </c>
      <c r="G8" s="32">
        <v>0</v>
      </c>
      <c r="H8" s="32">
        <v>0</v>
      </c>
      <c r="I8" s="31">
        <f>H8+$Q$8</f>
        <v>0.66249999999999998</v>
      </c>
      <c r="J8" s="31">
        <f t="shared" ref="J8:O8" si="10">I8+$Q$8</f>
        <v>1.325</v>
      </c>
      <c r="K8" s="31">
        <f t="shared" si="10"/>
        <v>1.9874999999999998</v>
      </c>
      <c r="L8" s="31">
        <f t="shared" si="10"/>
        <v>2.65</v>
      </c>
      <c r="M8" s="31">
        <f t="shared" si="10"/>
        <v>3.3125</v>
      </c>
      <c r="N8" s="31">
        <f t="shared" si="10"/>
        <v>3.9750000000000001</v>
      </c>
      <c r="O8" s="31">
        <f t="shared" si="10"/>
        <v>4.6375000000000002</v>
      </c>
      <c r="P8" s="30">
        <v>5.3</v>
      </c>
      <c r="Q8" s="32">
        <f>(P8-H8)/($P$1-H1)</f>
        <v>0.66249999999999998</v>
      </c>
    </row>
    <row r="9" spans="1:17" x14ac:dyDescent="0.2">
      <c r="A9" s="2" t="s">
        <v>12</v>
      </c>
      <c r="B9" s="32">
        <v>0</v>
      </c>
      <c r="C9" s="32">
        <v>0</v>
      </c>
      <c r="D9" s="32">
        <v>0</v>
      </c>
      <c r="E9" s="32">
        <v>0</v>
      </c>
      <c r="F9" s="32">
        <v>0</v>
      </c>
      <c r="G9" s="32">
        <v>0</v>
      </c>
      <c r="H9" s="32">
        <v>0</v>
      </c>
      <c r="I9" s="31">
        <f>H9+$Q$9</f>
        <v>0.45</v>
      </c>
      <c r="J9" s="31">
        <f t="shared" ref="J9:O9" si="11">I9+$Q$9</f>
        <v>0.9</v>
      </c>
      <c r="K9" s="31">
        <f t="shared" si="11"/>
        <v>1.35</v>
      </c>
      <c r="L9" s="31">
        <f t="shared" si="11"/>
        <v>1.8</v>
      </c>
      <c r="M9" s="31">
        <f t="shared" si="11"/>
        <v>2.25</v>
      </c>
      <c r="N9" s="31">
        <f t="shared" si="11"/>
        <v>2.7</v>
      </c>
      <c r="O9" s="31">
        <f t="shared" si="11"/>
        <v>3.1500000000000004</v>
      </c>
      <c r="P9" s="30">
        <v>3.6</v>
      </c>
      <c r="Q9" s="32">
        <f>(P9-H9)/($P$1-H1)</f>
        <v>0.45</v>
      </c>
    </row>
    <row r="10" spans="1:17" x14ac:dyDescent="0.2">
      <c r="A10" s="5" t="s">
        <v>13</v>
      </c>
      <c r="B10" s="32">
        <v>0</v>
      </c>
      <c r="C10" s="32">
        <v>0</v>
      </c>
      <c r="D10" s="32">
        <v>0</v>
      </c>
      <c r="E10" s="32">
        <v>0</v>
      </c>
      <c r="F10" s="32">
        <v>0</v>
      </c>
      <c r="G10" s="32">
        <v>0</v>
      </c>
      <c r="H10" s="32">
        <v>0</v>
      </c>
      <c r="I10" s="31">
        <f t="shared" ref="I10:J10" si="12">J10-$Q$10</f>
        <v>3.9999999999999925E-2</v>
      </c>
      <c r="J10" s="31">
        <f t="shared" si="12"/>
        <v>0.31999999999999995</v>
      </c>
      <c r="K10" s="31">
        <f>L10-$Q$10</f>
        <v>0.6</v>
      </c>
      <c r="L10" s="29">
        <v>0.88</v>
      </c>
      <c r="M10" s="31">
        <f>L10+$Q$10</f>
        <v>1.1600000000000001</v>
      </c>
      <c r="N10" s="31">
        <f t="shared" ref="N10:O10" si="13">M10+$Q$10</f>
        <v>1.4400000000000002</v>
      </c>
      <c r="O10" s="31">
        <f t="shared" si="13"/>
        <v>1.7200000000000002</v>
      </c>
      <c r="P10" s="30">
        <v>2</v>
      </c>
      <c r="Q10" s="32">
        <f>(P10-L10)/($P$1-L1)</f>
        <v>0.28000000000000003</v>
      </c>
    </row>
    <row r="11" spans="1:17" x14ac:dyDescent="0.2">
      <c r="A11" s="2" t="s">
        <v>14</v>
      </c>
      <c r="B11" s="32">
        <v>0</v>
      </c>
      <c r="C11" s="32">
        <v>0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31">
        <f>J11-$Q$11</f>
        <v>4.1666666666666657E-2</v>
      </c>
      <c r="J11" s="29">
        <v>0.25</v>
      </c>
      <c r="K11" s="31">
        <f>J11+$Q$11</f>
        <v>0.45833333333333337</v>
      </c>
      <c r="L11" s="31">
        <f t="shared" ref="L11:O11" si="14">K11+$Q$11</f>
        <v>0.66666666666666674</v>
      </c>
      <c r="M11" s="31">
        <f t="shared" si="14"/>
        <v>0.87500000000000011</v>
      </c>
      <c r="N11" s="31">
        <f t="shared" si="14"/>
        <v>1.0833333333333335</v>
      </c>
      <c r="O11" s="31">
        <f t="shared" si="14"/>
        <v>1.2916666666666667</v>
      </c>
      <c r="P11" s="30">
        <v>1.5</v>
      </c>
      <c r="Q11" s="32">
        <f>(P11-J11)/($P$1-J1)</f>
        <v>0.20833333333333334</v>
      </c>
    </row>
    <row r="12" spans="1:17" x14ac:dyDescent="0.2">
      <c r="A12" s="2" t="s">
        <v>16</v>
      </c>
      <c r="B12" s="32">
        <v>0</v>
      </c>
      <c r="C12" s="32">
        <v>0</v>
      </c>
      <c r="D12" s="32">
        <v>0</v>
      </c>
      <c r="E12" s="32">
        <v>0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32">
        <v>0</v>
      </c>
      <c r="L12" s="32">
        <v>0</v>
      </c>
      <c r="M12" s="29">
        <v>0.38</v>
      </c>
      <c r="N12" s="31">
        <f>M12+$Q$12</f>
        <v>0.9866666666666668</v>
      </c>
      <c r="O12" s="31">
        <f>N12+$Q$12</f>
        <v>1.5933333333333337</v>
      </c>
      <c r="P12" s="30">
        <v>2.2000000000000002</v>
      </c>
      <c r="Q12" s="32">
        <f>(P12-M12)/($P$1-M1)</f>
        <v>0.6066666666666668</v>
      </c>
    </row>
    <row r="13" spans="1:17" x14ac:dyDescent="0.2">
      <c r="A13" s="5" t="s">
        <v>17</v>
      </c>
      <c r="B13" s="32">
        <v>0</v>
      </c>
      <c r="C13" s="32">
        <v>0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1">
        <f>H13+$Q13</f>
        <v>0.33750000000000002</v>
      </c>
      <c r="J13" s="31">
        <f t="shared" ref="J13:O13" si="15">I13+$Q13</f>
        <v>0.67500000000000004</v>
      </c>
      <c r="K13" s="31">
        <f t="shared" si="15"/>
        <v>1.0125000000000002</v>
      </c>
      <c r="L13" s="31">
        <f t="shared" si="15"/>
        <v>1.35</v>
      </c>
      <c r="M13" s="31">
        <f t="shared" si="15"/>
        <v>1.6875</v>
      </c>
      <c r="N13" s="31">
        <f t="shared" si="15"/>
        <v>2.0249999999999999</v>
      </c>
      <c r="O13" s="31">
        <f t="shared" si="15"/>
        <v>2.3624999999999998</v>
      </c>
      <c r="P13" s="30">
        <v>2.7</v>
      </c>
      <c r="Q13" s="32">
        <f>(P13-H13)/($P$1-H1)</f>
        <v>0.33750000000000002</v>
      </c>
    </row>
    <row r="14" spans="1:17" x14ac:dyDescent="0.2">
      <c r="A14" s="2" t="s">
        <v>18</v>
      </c>
      <c r="B14" s="32">
        <v>0</v>
      </c>
      <c r="C14" s="32">
        <v>0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1">
        <f>H14+$Q14</f>
        <v>0.15</v>
      </c>
      <c r="J14" s="31">
        <f t="shared" ref="J14:O14" si="16">I14+$Q14</f>
        <v>0.3</v>
      </c>
      <c r="K14" s="31">
        <f t="shared" si="16"/>
        <v>0.44999999999999996</v>
      </c>
      <c r="L14" s="31">
        <f t="shared" si="16"/>
        <v>0.6</v>
      </c>
      <c r="M14" s="31">
        <f t="shared" si="16"/>
        <v>0.75</v>
      </c>
      <c r="N14" s="31">
        <f t="shared" si="16"/>
        <v>0.9</v>
      </c>
      <c r="O14" s="31">
        <f t="shared" si="16"/>
        <v>1.05</v>
      </c>
      <c r="P14" s="30">
        <v>1.2</v>
      </c>
      <c r="Q14" s="32">
        <f>(P14-H14)/($P$1-$H$1)</f>
        <v>0.15</v>
      </c>
    </row>
    <row r="15" spans="1:17" x14ac:dyDescent="0.2">
      <c r="A15" s="5" t="s">
        <v>19</v>
      </c>
      <c r="B15" s="32">
        <v>0</v>
      </c>
      <c r="C15" s="32">
        <v>0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1">
        <f t="shared" ref="I15:O15" si="17">H15+$Q15</f>
        <v>0.13750000000000001</v>
      </c>
      <c r="J15" s="31">
        <f t="shared" si="17"/>
        <v>0.27500000000000002</v>
      </c>
      <c r="K15" s="31">
        <f t="shared" si="17"/>
        <v>0.41250000000000003</v>
      </c>
      <c r="L15" s="31">
        <f t="shared" si="17"/>
        <v>0.55000000000000004</v>
      </c>
      <c r="M15" s="31">
        <f t="shared" si="17"/>
        <v>0.6875</v>
      </c>
      <c r="N15" s="31">
        <f t="shared" si="17"/>
        <v>0.82499999999999996</v>
      </c>
      <c r="O15" s="31">
        <f t="shared" si="17"/>
        <v>0.96249999999999991</v>
      </c>
      <c r="P15" s="30">
        <v>1.1000000000000001</v>
      </c>
      <c r="Q15" s="32">
        <f t="shared" ref="Q15:Q17" si="18">(P15-H15)/($P$1-$H$1)</f>
        <v>0.13750000000000001</v>
      </c>
    </row>
    <row r="16" spans="1:17" x14ac:dyDescent="0.2">
      <c r="A16" s="2" t="s">
        <v>66</v>
      </c>
      <c r="B16" s="32">
        <v>0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1">
        <f t="shared" ref="I16:O16" si="19">H16+$Q16</f>
        <v>0.16250000000000001</v>
      </c>
      <c r="J16" s="31">
        <f t="shared" si="19"/>
        <v>0.32500000000000001</v>
      </c>
      <c r="K16" s="31">
        <f t="shared" si="19"/>
        <v>0.48750000000000004</v>
      </c>
      <c r="L16" s="31">
        <f t="shared" si="19"/>
        <v>0.65</v>
      </c>
      <c r="M16" s="31">
        <f t="shared" si="19"/>
        <v>0.8125</v>
      </c>
      <c r="N16" s="31">
        <f t="shared" si="19"/>
        <v>0.97499999999999998</v>
      </c>
      <c r="O16" s="31">
        <f t="shared" si="19"/>
        <v>1.1375</v>
      </c>
      <c r="P16" s="30">
        <v>1.3</v>
      </c>
      <c r="Q16" s="32">
        <f t="shared" si="18"/>
        <v>0.16250000000000001</v>
      </c>
    </row>
    <row r="17" spans="1:17" x14ac:dyDescent="0.2">
      <c r="A17" s="5" t="s">
        <v>21</v>
      </c>
      <c r="B17" s="32">
        <v>0</v>
      </c>
      <c r="C17" s="32">
        <v>0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1">
        <f t="shared" ref="I17:O17" si="20">H17+$Q17</f>
        <v>0.2</v>
      </c>
      <c r="J17" s="31">
        <f t="shared" si="20"/>
        <v>0.4</v>
      </c>
      <c r="K17" s="31">
        <f t="shared" si="20"/>
        <v>0.60000000000000009</v>
      </c>
      <c r="L17" s="31">
        <f t="shared" si="20"/>
        <v>0.8</v>
      </c>
      <c r="M17" s="31">
        <f t="shared" si="20"/>
        <v>1</v>
      </c>
      <c r="N17" s="31">
        <f t="shared" si="20"/>
        <v>1.2</v>
      </c>
      <c r="O17" s="31">
        <f t="shared" si="20"/>
        <v>1.4</v>
      </c>
      <c r="P17" s="30">
        <v>1.6</v>
      </c>
      <c r="Q17" s="32">
        <f t="shared" si="18"/>
        <v>0.2</v>
      </c>
    </row>
    <row r="18" spans="1:17" x14ac:dyDescent="0.2">
      <c r="A18" s="2" t="s">
        <v>22</v>
      </c>
      <c r="B18" s="32">
        <v>0</v>
      </c>
      <c r="C18" s="32">
        <v>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0">
        <v>0.5</v>
      </c>
    </row>
    <row r="19" spans="1:17" x14ac:dyDescent="0.2">
      <c r="A19" s="5" t="s">
        <v>23</v>
      </c>
      <c r="B19" s="32">
        <v>0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0">
        <v>1</v>
      </c>
    </row>
    <row r="20" spans="1:17" x14ac:dyDescent="0.2">
      <c r="A20" s="2" t="s">
        <v>24</v>
      </c>
      <c r="B20" s="32">
        <v>0</v>
      </c>
      <c r="C20" s="32">
        <v>0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0">
        <v>0.5</v>
      </c>
    </row>
    <row r="21" spans="1:17" x14ac:dyDescent="0.2">
      <c r="A21" s="5" t="s">
        <v>25</v>
      </c>
      <c r="B21" s="32">
        <v>0</v>
      </c>
      <c r="C21" s="32">
        <v>0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0">
        <v>0.5</v>
      </c>
    </row>
    <row r="22" spans="1:17" x14ac:dyDescent="0.2">
      <c r="A22" s="2" t="s">
        <v>26</v>
      </c>
      <c r="B22" s="32">
        <v>0</v>
      </c>
      <c r="C22" s="32">
        <v>0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0">
        <v>0.6</v>
      </c>
    </row>
    <row r="23" spans="1:17" x14ac:dyDescent="0.2">
      <c r="A23" s="5" t="s">
        <v>27</v>
      </c>
      <c r="B23" s="32">
        <v>0</v>
      </c>
      <c r="C23" s="32">
        <v>0</v>
      </c>
      <c r="D23" s="32">
        <v>0</v>
      </c>
      <c r="E23" s="32">
        <v>0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0">
        <v>0.6</v>
      </c>
    </row>
    <row r="24" spans="1:17" x14ac:dyDescent="0.2">
      <c r="A24" s="2" t="s">
        <v>28</v>
      </c>
      <c r="B24" s="32">
        <v>0</v>
      </c>
      <c r="C24" s="32">
        <v>0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0">
        <v>0.5</v>
      </c>
    </row>
    <row r="25" spans="1:17" x14ac:dyDescent="0.2">
      <c r="A25" s="5" t="s">
        <v>29</v>
      </c>
      <c r="B25" s="32">
        <v>0</v>
      </c>
      <c r="C25" s="32">
        <v>0</v>
      </c>
      <c r="D25" s="32">
        <v>0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0">
        <v>0.4</v>
      </c>
    </row>
    <row r="26" spans="1:17" x14ac:dyDescent="0.2">
      <c r="A26" s="2" t="s">
        <v>30</v>
      </c>
      <c r="B26" s="32">
        <v>0</v>
      </c>
      <c r="C26" s="32">
        <v>0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0">
        <v>0.3</v>
      </c>
    </row>
    <row r="27" spans="1:17" x14ac:dyDescent="0.2">
      <c r="A27" s="35" t="s">
        <v>33</v>
      </c>
      <c r="B27" s="32">
        <v>0</v>
      </c>
      <c r="C27" s="32">
        <v>0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</row>
    <row r="30" spans="1:17" x14ac:dyDescent="0.2">
      <c r="A30" t="s">
        <v>67</v>
      </c>
    </row>
    <row r="31" spans="1:17" x14ac:dyDescent="0.2">
      <c r="A31" t="s">
        <v>68</v>
      </c>
    </row>
    <row r="32" spans="1:17" x14ac:dyDescent="0.2">
      <c r="A32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A9C77-17EB-9A46-B58C-82CD283C424D}">
  <dimension ref="A1:AM105"/>
  <sheetViews>
    <sheetView zoomScale="88" workbookViewId="0">
      <selection activeCell="C28" sqref="C28"/>
    </sheetView>
  </sheetViews>
  <sheetFormatPr baseColWidth="10" defaultColWidth="11.5" defaultRowHeight="15" x14ac:dyDescent="0.2"/>
  <cols>
    <col min="1" max="2" width="15.83203125" customWidth="1"/>
  </cols>
  <sheetData>
    <row r="1" spans="1:39" x14ac:dyDescent="0.2">
      <c r="A1" s="1" t="s">
        <v>47</v>
      </c>
      <c r="B1" s="1" t="s">
        <v>48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>
        <v>2051</v>
      </c>
      <c r="AE1" s="1">
        <v>2052</v>
      </c>
      <c r="AF1" s="1">
        <v>2053</v>
      </c>
      <c r="AG1" s="1">
        <v>2054</v>
      </c>
      <c r="AH1" s="1">
        <v>2055</v>
      </c>
      <c r="AI1" s="1">
        <v>2056</v>
      </c>
      <c r="AJ1" s="1">
        <v>2057</v>
      </c>
      <c r="AK1" s="1">
        <v>2058</v>
      </c>
      <c r="AL1" s="1">
        <v>2059</v>
      </c>
      <c r="AM1" s="1">
        <v>2060</v>
      </c>
    </row>
    <row r="2" spans="1:39" s="19" customFormat="1" x14ac:dyDescent="0.2">
      <c r="A2" s="18" t="s">
        <v>4</v>
      </c>
      <c r="B2" s="18" t="s">
        <v>34</v>
      </c>
      <c r="C2" s="22">
        <f>'input_EnBW Model 2026'!C2</f>
        <v>20.028513599999997</v>
      </c>
      <c r="D2" s="22">
        <f>'input_EnBW Model 2026'!D2</f>
        <v>21.630553099714284</v>
      </c>
      <c r="E2" s="22">
        <f>'input_EnBW Model 2026'!E2</f>
        <v>23.346581035075808</v>
      </c>
      <c r="F2" s="22">
        <f>'input_EnBW Model 2026'!F2</f>
        <v>25.182703412580683</v>
      </c>
      <c r="G2" s="22">
        <f>'input_EnBW Model 2026'!G2</f>
        <v>27.145034191007397</v>
      </c>
      <c r="H2" s="22">
        <f>'input_EnBW Model 2026'!H2</f>
        <v>29.239627803491427</v>
      </c>
      <c r="I2" s="22">
        <f>'input_EnBW Model 2026'!I2</f>
        <v>31.472397231314616</v>
      </c>
      <c r="J2" s="22">
        <f>'input_EnBW Model 2026'!J2</f>
        <v>33.489886179358201</v>
      </c>
      <c r="K2" s="22">
        <f>'input_EnBW Model 2026'!K2</f>
        <v>35.63578018835959</v>
      </c>
      <c r="L2" s="22">
        <f>'input_EnBW Model 2026'!L2</f>
        <v>37.918183968521419</v>
      </c>
      <c r="M2" s="22">
        <f>'input_EnBW Model 2026'!M2</f>
        <v>40.345708769606695</v>
      </c>
      <c r="N2" s="22">
        <f>'input_EnBW Model 2026'!N2</f>
        <v>42.927503664517445</v>
      </c>
      <c r="O2" s="22">
        <f>'input_EnBW Model 2026'!O2</f>
        <v>45.823777332121502</v>
      </c>
      <c r="P2" s="22">
        <f>'input_EnBW Model 2026'!P2</f>
        <v>48.915200816142622</v>
      </c>
      <c r="Q2" s="22">
        <f>'input_EnBW Model 2026'!Q2</f>
        <v>52.214905733314801</v>
      </c>
      <c r="R2" s="22">
        <f>'input_EnBW Model 2026'!R2</f>
        <v>55.736906138623077</v>
      </c>
      <c r="S2" s="22">
        <f>'input_EnBW Model 2026'!S2</f>
        <v>59.496157743979438</v>
      </c>
      <c r="T2" s="22">
        <f>'input_EnBW Model 2026'!T2</f>
        <v>61.872567634339923</v>
      </c>
      <c r="U2" s="22">
        <f>'input_EnBW Model 2026'!U2</f>
        <v>64.343556094379394</v>
      </c>
      <c r="V2" s="22">
        <f>'input_EnBW Model 2026'!V2</f>
        <v>66.912873539081218</v>
      </c>
      <c r="W2" s="22">
        <f>'input_EnBW Model 2026'!W2</f>
        <v>69.584418546325267</v>
      </c>
      <c r="X2" s="22">
        <f>'input_EnBW Model 2026'!X2</f>
        <v>72.362243687472159</v>
      </c>
      <c r="Y2" s="22">
        <f>'input_EnBW Model 2026'!Y2</f>
        <v>74.464459638700518</v>
      </c>
      <c r="Z2" s="22">
        <f>'input_EnBW Model 2026'!Z2</f>
        <v>76.115432060062389</v>
      </c>
      <c r="AA2" s="22">
        <f>'input_EnBW Model 2026'!AA2</f>
        <v>77.40600339901772</v>
      </c>
      <c r="AB2" s="22">
        <f>'input_EnBW Model 2026'!AB2</f>
        <v>78.40872886523718</v>
      </c>
      <c r="AC2" s="22">
        <f>'input_EnBW Model 2026'!AC2</f>
        <v>79.181557627819402</v>
      </c>
      <c r="AD2" s="22">
        <f>'input_EnBW Model 2026'!AD2</f>
        <v>79.770773023132989</v>
      </c>
      <c r="AE2" s="22">
        <f>'input_EnBW Model 2026'!AE2</f>
        <v>80.213340921144606</v>
      </c>
      <c r="AF2" s="22">
        <f>'input_EnBW Model 2026'!AF2</f>
        <v>80.538785378525006</v>
      </c>
      <c r="AG2" s="22">
        <f>'input_EnBW Model 2026'!AG2</f>
        <v>80.770686729168716</v>
      </c>
      <c r="AH2" s="22">
        <f>'input_EnBW Model 2026'!AH2</f>
        <v>80.927878111037685</v>
      </c>
      <c r="AI2" s="22">
        <f>'input_EnBW Model 2026'!AI2</f>
        <v>81.025401131178569</v>
      </c>
      <c r="AJ2" s="22">
        <f>'input_EnBW Model 2026'!AJ2</f>
        <v>81.075269152570357</v>
      </c>
      <c r="AK2" s="22">
        <f>'input_EnBW Model 2026'!AK2</f>
        <v>81.087076927469539</v>
      </c>
      <c r="AL2" s="22">
        <f>'input_EnBW Model 2026'!AL2</f>
        <v>81.068487507179995</v>
      </c>
      <c r="AM2" s="22">
        <f>'input_EnBW Model 2026'!AM2</f>
        <v>81.025621132343744</v>
      </c>
    </row>
    <row r="3" spans="1:39" x14ac:dyDescent="0.2">
      <c r="A3" s="5" t="s">
        <v>5</v>
      </c>
      <c r="B3" s="2" t="s">
        <v>34</v>
      </c>
      <c r="C3" s="21">
        <v>11</v>
      </c>
      <c r="D3" s="21">
        <v>12.2</v>
      </c>
      <c r="E3" s="21">
        <v>13.4</v>
      </c>
      <c r="F3" s="21">
        <v>14.7</v>
      </c>
      <c r="G3" s="21">
        <v>16.100000000000001</v>
      </c>
      <c r="H3" s="21">
        <v>17.5</v>
      </c>
      <c r="I3" s="21">
        <v>19</v>
      </c>
      <c r="J3" s="21">
        <v>20.5</v>
      </c>
      <c r="K3" s="21">
        <v>22.1</v>
      </c>
      <c r="L3" s="21">
        <v>23.7</v>
      </c>
      <c r="M3" s="21">
        <v>25.2</v>
      </c>
      <c r="N3" s="21">
        <v>26.8</v>
      </c>
      <c r="O3">
        <f>$N3*O$2/$N$2</f>
        <v>28.608167903225809</v>
      </c>
      <c r="P3">
        <f t="shared" ref="P3:AE18" si="0">$N3*P$2/$N$2</f>
        <v>30.538169470967738</v>
      </c>
      <c r="Q3">
        <f t="shared" si="0"/>
        <v>32.598202881513096</v>
      </c>
      <c r="R3">
        <f t="shared" si="0"/>
        <v>34.79701722673861</v>
      </c>
      <c r="S3">
        <f t="shared" si="0"/>
        <v>37.143949482825654</v>
      </c>
      <c r="T3">
        <f t="shared" si="0"/>
        <v>38.627562076732509</v>
      </c>
      <c r="U3">
        <f t="shared" si="0"/>
        <v>40.170220863662983</v>
      </c>
      <c r="V3">
        <f t="shared" si="0"/>
        <v>41.77426725909605</v>
      </c>
      <c r="W3">
        <f t="shared" si="0"/>
        <v>43.442135177847646</v>
      </c>
      <c r="X3">
        <f t="shared" si="0"/>
        <v>45.176354674153259</v>
      </c>
      <c r="Y3">
        <f t="shared" si="0"/>
        <v>46.488785695840846</v>
      </c>
      <c r="Z3">
        <f t="shared" si="0"/>
        <v>47.519501603252678</v>
      </c>
      <c r="AA3">
        <f t="shared" si="0"/>
        <v>48.325216097025859</v>
      </c>
      <c r="AB3">
        <f t="shared" si="0"/>
        <v>48.951226002113678</v>
      </c>
      <c r="AC3">
        <f t="shared" si="0"/>
        <v>49.433709470033641</v>
      </c>
      <c r="AD3">
        <f t="shared" si="0"/>
        <v>49.801561575243674</v>
      </c>
      <c r="AE3">
        <f t="shared" si="0"/>
        <v>50.077860419905242</v>
      </c>
      <c r="AF3">
        <f t="shared" ref="AF3:AM17" si="1">$N3*AF$2/$N$2</f>
        <v>50.281038119823627</v>
      </c>
      <c r="AG3">
        <f t="shared" si="1"/>
        <v>50.425816074903942</v>
      </c>
      <c r="AH3">
        <f t="shared" si="1"/>
        <v>50.523951970878969</v>
      </c>
      <c r="AI3">
        <f t="shared" si="1"/>
        <v>50.584836408981893</v>
      </c>
      <c r="AJ3">
        <f t="shared" si="1"/>
        <v>50.615969432316881</v>
      </c>
      <c r="AK3">
        <f t="shared" si="1"/>
        <v>50.623341125061259</v>
      </c>
      <c r="AL3">
        <f t="shared" si="1"/>
        <v>50.611735594312172</v>
      </c>
      <c r="AM3">
        <f t="shared" si="1"/>
        <v>50.584973757551538</v>
      </c>
    </row>
    <row r="4" spans="1:39" x14ac:dyDescent="0.2">
      <c r="A4" s="5" t="s">
        <v>7</v>
      </c>
      <c r="B4" s="2" t="s">
        <v>34</v>
      </c>
      <c r="C4" s="21">
        <v>3.9</v>
      </c>
      <c r="D4" s="21">
        <v>4.9000000000000004</v>
      </c>
      <c r="E4" s="21">
        <v>6</v>
      </c>
      <c r="F4" s="21">
        <v>7.1</v>
      </c>
      <c r="G4" s="21">
        <v>8.1999999999999993</v>
      </c>
      <c r="H4" s="21">
        <v>9.4</v>
      </c>
      <c r="I4" s="21">
        <v>10.6</v>
      </c>
      <c r="J4" s="21">
        <v>11.9</v>
      </c>
      <c r="K4" s="21">
        <v>13.1</v>
      </c>
      <c r="L4" s="21">
        <v>14.3</v>
      </c>
      <c r="M4" s="21">
        <v>15.5</v>
      </c>
      <c r="N4" s="21">
        <v>16.7</v>
      </c>
      <c r="O4">
        <f>$N4*O$2/$N$2</f>
        <v>17.826731491935487</v>
      </c>
      <c r="P4">
        <f t="shared" si="0"/>
        <v>19.029381722580641</v>
      </c>
      <c r="Q4">
        <f t="shared" si="0"/>
        <v>20.313059258256295</v>
      </c>
      <c r="R4">
        <f t="shared" si="0"/>
        <v>21.683215958452791</v>
      </c>
      <c r="S4">
        <f t="shared" si="0"/>
        <v>23.145670013551801</v>
      </c>
      <c r="T4">
        <f t="shared" si="0"/>
        <v>24.070159950799734</v>
      </c>
      <c r="U4">
        <f t="shared" si="0"/>
        <v>25.031443597879544</v>
      </c>
      <c r="V4">
        <f t="shared" si="0"/>
        <v>26.03097997115313</v>
      </c>
      <c r="W4">
        <f t="shared" si="0"/>
        <v>27.070285726494614</v>
      </c>
      <c r="X4">
        <f t="shared" si="0"/>
        <v>28.150937427550726</v>
      </c>
      <c r="Y4">
        <f t="shared" si="0"/>
        <v>28.968758250766495</v>
      </c>
      <c r="Z4">
        <f t="shared" si="0"/>
        <v>29.61103271545969</v>
      </c>
      <c r="AA4">
        <f t="shared" si="0"/>
        <v>30.113101075385515</v>
      </c>
      <c r="AB4">
        <f t="shared" si="0"/>
        <v>30.503189337137997</v>
      </c>
      <c r="AC4">
        <f t="shared" si="0"/>
        <v>30.803841348864246</v>
      </c>
      <c r="AD4">
        <f t="shared" si="0"/>
        <v>31.033062623379454</v>
      </c>
      <c r="AE4">
        <f t="shared" si="0"/>
        <v>31.205233918373789</v>
      </c>
      <c r="AF4">
        <f t="shared" si="1"/>
        <v>31.331840917949798</v>
      </c>
      <c r="AG4">
        <f t="shared" si="1"/>
        <v>31.422057031749841</v>
      </c>
      <c r="AH4">
        <f t="shared" si="1"/>
        <v>31.483208877376068</v>
      </c>
      <c r="AI4">
        <f t="shared" si="1"/>
        <v>31.521148060820803</v>
      </c>
      <c r="AJ4">
        <f t="shared" si="1"/>
        <v>31.540548116406409</v>
      </c>
      <c r="AK4">
        <f t="shared" si="1"/>
        <v>31.545141671213539</v>
      </c>
      <c r="AL4">
        <f t="shared" si="1"/>
        <v>31.537909866604974</v>
      </c>
      <c r="AM4">
        <f t="shared" si="1"/>
        <v>31.521233647429501</v>
      </c>
    </row>
    <row r="5" spans="1:39" x14ac:dyDescent="0.2">
      <c r="A5" s="2" t="s">
        <v>8</v>
      </c>
      <c r="B5" s="2" t="s">
        <v>34</v>
      </c>
      <c r="C5" s="23">
        <v>2.9</v>
      </c>
      <c r="D5" s="23">
        <v>3.8</v>
      </c>
      <c r="E5" s="23">
        <v>4.8</v>
      </c>
      <c r="F5" s="23">
        <v>5.8</v>
      </c>
      <c r="G5" s="23">
        <v>6.8</v>
      </c>
      <c r="H5" s="23">
        <v>7.9</v>
      </c>
      <c r="I5" s="23">
        <v>9.1</v>
      </c>
      <c r="J5" s="23">
        <v>10.199999999999999</v>
      </c>
      <c r="K5" s="23">
        <v>11.4</v>
      </c>
      <c r="L5" s="23">
        <v>12.6</v>
      </c>
      <c r="M5" s="23">
        <v>13.7</v>
      </c>
      <c r="N5" s="23">
        <v>14.9</v>
      </c>
      <c r="O5">
        <f t="shared" ref="O5:AD25" si="2">$N5*O$2/$N$2</f>
        <v>15.905287379032259</v>
      </c>
      <c r="P5">
        <f t="shared" si="0"/>
        <v>16.978310638709672</v>
      </c>
      <c r="Q5">
        <f t="shared" si="0"/>
        <v>18.12362772143825</v>
      </c>
      <c r="R5">
        <f t="shared" si="0"/>
        <v>19.346102861134529</v>
      </c>
      <c r="S5">
        <f t="shared" si="0"/>
        <v>20.650927137839634</v>
      </c>
      <c r="T5">
        <f t="shared" si="0"/>
        <v>21.475771453108745</v>
      </c>
      <c r="U5">
        <f t="shared" si="0"/>
        <v>22.333443689126064</v>
      </c>
      <c r="V5">
        <f t="shared" si="0"/>
        <v>23.225245603004893</v>
      </c>
      <c r="W5">
        <f t="shared" si="0"/>
        <v>24.152530378728731</v>
      </c>
      <c r="X5">
        <f t="shared" si="0"/>
        <v>25.11670465092849</v>
      </c>
      <c r="Y5">
        <f t="shared" si="0"/>
        <v>25.846377121941366</v>
      </c>
      <c r="Z5">
        <f t="shared" si="0"/>
        <v>26.419424398823317</v>
      </c>
      <c r="AA5">
        <f t="shared" si="0"/>
        <v>26.867377606182284</v>
      </c>
      <c r="AB5">
        <f t="shared" si="0"/>
        <v>27.215420426548278</v>
      </c>
      <c r="AC5">
        <f t="shared" si="0"/>
        <v>27.483666832220202</v>
      </c>
      <c r="AD5">
        <f t="shared" si="0"/>
        <v>27.688181622057119</v>
      </c>
      <c r="AE5">
        <f t="shared" si="0"/>
        <v>27.841795531962244</v>
      </c>
      <c r="AF5">
        <f t="shared" si="1"/>
        <v>27.954756268110899</v>
      </c>
      <c r="AG5">
        <f t="shared" si="1"/>
        <v>28.03524848940555</v>
      </c>
      <c r="AH5">
        <f t="shared" si="1"/>
        <v>28.089809118137929</v>
      </c>
      <c r="AI5">
        <f t="shared" si="1"/>
        <v>28.123659048277247</v>
      </c>
      <c r="AJ5">
        <f t="shared" si="1"/>
        <v>28.140968079907513</v>
      </c>
      <c r="AK5">
        <f t="shared" si="1"/>
        <v>28.145066521022862</v>
      </c>
      <c r="AL5">
        <f t="shared" si="1"/>
        <v>28.138614192360127</v>
      </c>
      <c r="AM5">
        <f t="shared" si="1"/>
        <v>28.123735409982011</v>
      </c>
    </row>
    <row r="6" spans="1:39" x14ac:dyDescent="0.2">
      <c r="A6" s="5" t="s">
        <v>9</v>
      </c>
      <c r="B6" s="2" t="s">
        <v>34</v>
      </c>
      <c r="C6" s="21">
        <v>6.8</v>
      </c>
      <c r="D6" s="21">
        <v>7.5</v>
      </c>
      <c r="E6" s="21">
        <v>8.1</v>
      </c>
      <c r="F6" s="21">
        <v>8.8000000000000007</v>
      </c>
      <c r="G6" s="21">
        <v>9.4</v>
      </c>
      <c r="H6" s="21">
        <v>10.1</v>
      </c>
      <c r="I6" s="21">
        <v>10.7</v>
      </c>
      <c r="J6" s="21">
        <v>11.4</v>
      </c>
      <c r="K6" s="21">
        <v>12</v>
      </c>
      <c r="L6" s="21">
        <v>12.6</v>
      </c>
      <c r="M6" s="21">
        <v>13.1</v>
      </c>
      <c r="N6" s="21">
        <v>13.6</v>
      </c>
      <c r="O6">
        <f t="shared" si="2"/>
        <v>14.517577741935485</v>
      </c>
      <c r="P6">
        <f t="shared" si="0"/>
        <v>15.496981522580642</v>
      </c>
      <c r="Q6">
        <f t="shared" si="0"/>
        <v>16.54237161151411</v>
      </c>
      <c r="R6">
        <f t="shared" si="0"/>
        <v>17.658187846404669</v>
      </c>
      <c r="S6">
        <f t="shared" si="0"/>
        <v>18.849168394269732</v>
      </c>
      <c r="T6">
        <f t="shared" si="0"/>
        <v>19.602046426998587</v>
      </c>
      <c r="U6">
        <f t="shared" si="0"/>
        <v>20.384888199470765</v>
      </c>
      <c r="V6">
        <f t="shared" si="0"/>
        <v>21.198881892675605</v>
      </c>
      <c r="W6">
        <f t="shared" si="0"/>
        <v>22.045262627564476</v>
      </c>
      <c r="X6">
        <f t="shared" si="0"/>
        <v>22.925314312256877</v>
      </c>
      <c r="Y6">
        <f t="shared" si="0"/>
        <v>23.591324084456545</v>
      </c>
      <c r="Z6">
        <f t="shared" si="0"/>
        <v>24.114373947919272</v>
      </c>
      <c r="AA6">
        <f t="shared" si="0"/>
        <v>24.523243989535512</v>
      </c>
      <c r="AB6">
        <f t="shared" si="0"/>
        <v>24.840920657789031</v>
      </c>
      <c r="AC6">
        <f t="shared" si="0"/>
        <v>25.085763014643934</v>
      </c>
      <c r="AD6">
        <f t="shared" si="0"/>
        <v>25.272434232213207</v>
      </c>
      <c r="AE6">
        <f t="shared" si="0"/>
        <v>25.41264558622057</v>
      </c>
      <c r="AF6">
        <f t="shared" si="1"/>
        <v>25.515750687671691</v>
      </c>
      <c r="AG6">
        <f t="shared" si="1"/>
        <v>25.589220097712449</v>
      </c>
      <c r="AH6">
        <f t="shared" si="1"/>
        <v>25.639020403132605</v>
      </c>
      <c r="AI6">
        <f t="shared" si="1"/>
        <v>25.66991698366245</v>
      </c>
      <c r="AJ6">
        <f t="shared" si="1"/>
        <v>25.685715831324977</v>
      </c>
      <c r="AK6">
        <f t="shared" si="1"/>
        <v>25.689456690329589</v>
      </c>
      <c r="AL6">
        <f t="shared" si="1"/>
        <v>25.683567316516626</v>
      </c>
      <c r="AM6">
        <f t="shared" si="1"/>
        <v>25.669986682936596</v>
      </c>
    </row>
    <row r="7" spans="1:39" x14ac:dyDescent="0.2">
      <c r="A7" s="2" t="s">
        <v>10</v>
      </c>
      <c r="B7" s="2" t="s">
        <v>34</v>
      </c>
      <c r="C7" s="23">
        <v>8.4</v>
      </c>
      <c r="D7" s="23">
        <v>8.8000000000000007</v>
      </c>
      <c r="E7" s="23">
        <v>9.3000000000000007</v>
      </c>
      <c r="F7" s="23">
        <v>9.6999999999999993</v>
      </c>
      <c r="G7" s="23">
        <v>10.199999999999999</v>
      </c>
      <c r="H7" s="23">
        <v>10.7</v>
      </c>
      <c r="I7" s="23">
        <v>11.2</v>
      </c>
      <c r="J7" s="23">
        <v>11.7</v>
      </c>
      <c r="K7" s="23">
        <v>12.2</v>
      </c>
      <c r="L7" s="23">
        <v>12.7</v>
      </c>
      <c r="M7" s="23">
        <v>13.1</v>
      </c>
      <c r="N7" s="23">
        <v>13.6</v>
      </c>
      <c r="O7">
        <f t="shared" si="2"/>
        <v>14.517577741935485</v>
      </c>
      <c r="P7">
        <f t="shared" si="0"/>
        <v>15.496981522580642</v>
      </c>
      <c r="Q7">
        <f t="shared" si="0"/>
        <v>16.54237161151411</v>
      </c>
      <c r="R7">
        <f t="shared" si="0"/>
        <v>17.658187846404669</v>
      </c>
      <c r="S7">
        <f t="shared" si="0"/>
        <v>18.849168394269732</v>
      </c>
      <c r="T7">
        <f t="shared" si="0"/>
        <v>19.602046426998587</v>
      </c>
      <c r="U7">
        <f t="shared" si="0"/>
        <v>20.384888199470765</v>
      </c>
      <c r="V7">
        <f t="shared" si="0"/>
        <v>21.198881892675605</v>
      </c>
      <c r="W7">
        <f t="shared" si="0"/>
        <v>22.045262627564476</v>
      </c>
      <c r="X7">
        <f t="shared" si="0"/>
        <v>22.925314312256877</v>
      </c>
      <c r="Y7">
        <f t="shared" si="0"/>
        <v>23.591324084456545</v>
      </c>
      <c r="Z7">
        <f t="shared" si="0"/>
        <v>24.114373947919272</v>
      </c>
      <c r="AA7">
        <f t="shared" si="0"/>
        <v>24.523243989535512</v>
      </c>
      <c r="AB7">
        <f t="shared" si="0"/>
        <v>24.840920657789031</v>
      </c>
      <c r="AC7">
        <f t="shared" si="0"/>
        <v>25.085763014643934</v>
      </c>
      <c r="AD7">
        <f t="shared" si="0"/>
        <v>25.272434232213207</v>
      </c>
      <c r="AE7">
        <f t="shared" si="0"/>
        <v>25.41264558622057</v>
      </c>
      <c r="AF7">
        <f t="shared" si="1"/>
        <v>25.515750687671691</v>
      </c>
      <c r="AG7">
        <f t="shared" si="1"/>
        <v>25.589220097712449</v>
      </c>
      <c r="AH7">
        <f t="shared" si="1"/>
        <v>25.639020403132605</v>
      </c>
      <c r="AI7">
        <f t="shared" si="1"/>
        <v>25.66991698366245</v>
      </c>
      <c r="AJ7">
        <f t="shared" si="1"/>
        <v>25.685715831324977</v>
      </c>
      <c r="AK7">
        <f t="shared" si="1"/>
        <v>25.689456690329589</v>
      </c>
      <c r="AL7">
        <f t="shared" si="1"/>
        <v>25.683567316516626</v>
      </c>
      <c r="AM7">
        <f t="shared" si="1"/>
        <v>25.669986682936596</v>
      </c>
    </row>
    <row r="8" spans="1:39" x14ac:dyDescent="0.2">
      <c r="A8" s="5" t="s">
        <v>11</v>
      </c>
      <c r="B8" s="2" t="s">
        <v>34</v>
      </c>
      <c r="C8" s="21">
        <v>5.3</v>
      </c>
      <c r="D8" s="21">
        <v>5.8</v>
      </c>
      <c r="E8" s="21">
        <v>6.4</v>
      </c>
      <c r="F8" s="21">
        <v>7</v>
      </c>
      <c r="G8" s="21">
        <v>7.6</v>
      </c>
      <c r="H8" s="21">
        <v>8.3000000000000007</v>
      </c>
      <c r="I8" s="21">
        <v>9.1</v>
      </c>
      <c r="J8" s="21">
        <v>9.8000000000000007</v>
      </c>
      <c r="K8" s="21">
        <v>10.6</v>
      </c>
      <c r="L8" s="21">
        <v>11.3</v>
      </c>
      <c r="M8" s="21">
        <v>12.1</v>
      </c>
      <c r="N8" s="21">
        <v>12.9</v>
      </c>
      <c r="O8">
        <f t="shared" si="2"/>
        <v>13.770349475806452</v>
      </c>
      <c r="P8">
        <f t="shared" si="0"/>
        <v>14.699342767741934</v>
      </c>
      <c r="Q8">
        <f t="shared" si="0"/>
        <v>15.690926013862649</v>
      </c>
      <c r="R8">
        <f t="shared" si="0"/>
        <v>16.7493105307809</v>
      </c>
      <c r="S8">
        <f t="shared" si="0"/>
        <v>17.878990609270556</v>
      </c>
      <c r="T8">
        <f t="shared" si="0"/>
        <v>18.593117566785423</v>
      </c>
      <c r="U8">
        <f t="shared" si="0"/>
        <v>19.335666012733299</v>
      </c>
      <c r="V8">
        <f t="shared" si="0"/>
        <v>20.107762971729066</v>
      </c>
      <c r="W8">
        <f t="shared" si="0"/>
        <v>20.910579992322191</v>
      </c>
      <c r="X8">
        <f t="shared" si="0"/>
        <v>21.745334899126011</v>
      </c>
      <c r="Y8">
        <f t="shared" si="0"/>
        <v>22.377064756580104</v>
      </c>
      <c r="Z8">
        <f t="shared" si="0"/>
        <v>22.873192935894014</v>
      </c>
      <c r="AA8">
        <f t="shared" si="0"/>
        <v>23.261018195956478</v>
      </c>
      <c r="AB8">
        <f t="shared" si="0"/>
        <v>23.56234385922636</v>
      </c>
      <c r="AC8">
        <f t="shared" si="0"/>
        <v>23.794584035949029</v>
      </c>
      <c r="AD8">
        <f t="shared" si="0"/>
        <v>23.971647176143414</v>
      </c>
      <c r="AE8">
        <f t="shared" si="0"/>
        <v>24.104641769282747</v>
      </c>
      <c r="AF8">
        <f t="shared" si="1"/>
        <v>24.202439990512119</v>
      </c>
      <c r="AG8">
        <f t="shared" si="1"/>
        <v>24.272127886800778</v>
      </c>
      <c r="AH8">
        <f t="shared" si="1"/>
        <v>24.319364941206665</v>
      </c>
      <c r="AI8">
        <f t="shared" si="1"/>
        <v>24.348671256562181</v>
      </c>
      <c r="AJ8">
        <f t="shared" si="1"/>
        <v>24.363656928242079</v>
      </c>
      <c r="AK8">
        <f t="shared" si="1"/>
        <v>24.367205243033215</v>
      </c>
      <c r="AL8">
        <f t="shared" si="1"/>
        <v>24.361618998754739</v>
      </c>
      <c r="AM8">
        <f t="shared" si="1"/>
        <v>24.348737368373687</v>
      </c>
    </row>
    <row r="9" spans="1:39" x14ac:dyDescent="0.2">
      <c r="A9" s="2" t="s">
        <v>12</v>
      </c>
      <c r="B9" s="2" t="s">
        <v>34</v>
      </c>
      <c r="C9" s="23">
        <v>3.6</v>
      </c>
      <c r="D9" s="23">
        <v>4.0999999999999996</v>
      </c>
      <c r="E9" s="23">
        <v>4.5999999999999996</v>
      </c>
      <c r="F9" s="23">
        <v>5.0999999999999996</v>
      </c>
      <c r="G9" s="23">
        <v>5.7</v>
      </c>
      <c r="H9" s="23">
        <v>6.3</v>
      </c>
      <c r="I9" s="23">
        <v>7</v>
      </c>
      <c r="J9" s="23">
        <v>7.7</v>
      </c>
      <c r="K9" s="23">
        <v>8.4</v>
      </c>
      <c r="L9" s="23">
        <v>9.1999999999999993</v>
      </c>
      <c r="M9" s="23">
        <v>9.9</v>
      </c>
      <c r="N9" s="23">
        <v>10.7</v>
      </c>
      <c r="O9">
        <f t="shared" si="2"/>
        <v>11.421917782258065</v>
      </c>
      <c r="P9">
        <f t="shared" si="0"/>
        <v>12.192478109677415</v>
      </c>
      <c r="Q9">
        <f t="shared" si="0"/>
        <v>13.014954135529482</v>
      </c>
      <c r="R9">
        <f t="shared" si="0"/>
        <v>13.892838967391908</v>
      </c>
      <c r="S9">
        <f t="shared" si="0"/>
        <v>14.829860427844567</v>
      </c>
      <c r="T9">
        <f t="shared" si="0"/>
        <v>15.422198291829771</v>
      </c>
      <c r="U9">
        <f t="shared" si="0"/>
        <v>16.038110568701264</v>
      </c>
      <c r="V9">
        <f t="shared" si="0"/>
        <v>16.678532077325659</v>
      </c>
      <c r="W9">
        <f t="shared" si="0"/>
        <v>17.344434567274995</v>
      </c>
      <c r="X9">
        <f t="shared" si="0"/>
        <v>18.036828172143277</v>
      </c>
      <c r="Y9">
        <f t="shared" si="0"/>
        <v>18.560821154682721</v>
      </c>
      <c r="Z9">
        <f t="shared" si="0"/>
        <v>18.972338326671778</v>
      </c>
      <c r="AA9">
        <f t="shared" si="0"/>
        <v>19.294022844708081</v>
      </c>
      <c r="AB9">
        <f t="shared" si="0"/>
        <v>19.54395963517225</v>
      </c>
      <c r="AC9">
        <f t="shared" si="0"/>
        <v>19.736592960050743</v>
      </c>
      <c r="AD9">
        <f t="shared" si="0"/>
        <v>19.883459285638331</v>
      </c>
      <c r="AE9">
        <f t="shared" si="0"/>
        <v>19.993772630335304</v>
      </c>
      <c r="AF9">
        <f t="shared" si="1"/>
        <v>20.074892085153465</v>
      </c>
      <c r="AG9">
        <f t="shared" si="1"/>
        <v>20.132695223935524</v>
      </c>
      <c r="AH9">
        <f t="shared" si="1"/>
        <v>20.17187634658227</v>
      </c>
      <c r="AI9">
        <f t="shared" si="1"/>
        <v>20.196184685675604</v>
      </c>
      <c r="AJ9">
        <f t="shared" si="1"/>
        <v>20.208614661410092</v>
      </c>
      <c r="AK9">
        <f t="shared" si="1"/>
        <v>20.211557837244602</v>
      </c>
      <c r="AL9">
        <f t="shared" si="1"/>
        <v>20.206924285788816</v>
      </c>
      <c r="AM9">
        <f t="shared" si="1"/>
        <v>20.196239522604529</v>
      </c>
    </row>
    <row r="10" spans="1:39" x14ac:dyDescent="0.2">
      <c r="A10" s="5" t="s">
        <v>13</v>
      </c>
      <c r="B10" s="2" t="s">
        <v>34</v>
      </c>
      <c r="C10" s="21">
        <v>2</v>
      </c>
      <c r="D10" s="21">
        <v>2.6</v>
      </c>
      <c r="E10" s="21">
        <v>3.3</v>
      </c>
      <c r="F10" s="21">
        <v>4</v>
      </c>
      <c r="G10" s="21">
        <v>4.7</v>
      </c>
      <c r="H10" s="21">
        <v>5.4</v>
      </c>
      <c r="I10" s="21">
        <v>6.1</v>
      </c>
      <c r="J10" s="21">
        <v>6.8</v>
      </c>
      <c r="K10" s="21">
        <v>7.5</v>
      </c>
      <c r="L10" s="21">
        <v>8.1999999999999993</v>
      </c>
      <c r="M10" s="21">
        <v>8.9</v>
      </c>
      <c r="N10" s="21">
        <v>9.5</v>
      </c>
      <c r="O10">
        <f t="shared" si="2"/>
        <v>10.140955040322581</v>
      </c>
      <c r="P10">
        <f t="shared" si="0"/>
        <v>10.825097387096774</v>
      </c>
      <c r="Q10">
        <f t="shared" si="0"/>
        <v>11.555333110984121</v>
      </c>
      <c r="R10">
        <f t="shared" si="0"/>
        <v>12.334763569179733</v>
      </c>
      <c r="S10">
        <f t="shared" si="0"/>
        <v>13.166698510703123</v>
      </c>
      <c r="T10">
        <f t="shared" si="0"/>
        <v>13.692605960035777</v>
      </c>
      <c r="U10">
        <f t="shared" si="0"/>
        <v>14.239443962865607</v>
      </c>
      <c r="V10">
        <f t="shared" si="0"/>
        <v>14.808042498560166</v>
      </c>
      <c r="W10">
        <f t="shared" si="0"/>
        <v>15.39926433543107</v>
      </c>
      <c r="X10">
        <f t="shared" si="0"/>
        <v>16.014006321061789</v>
      </c>
      <c r="Y10">
        <f t="shared" si="0"/>
        <v>16.479233735465968</v>
      </c>
      <c r="Z10">
        <f t="shared" si="0"/>
        <v>16.844599448914195</v>
      </c>
      <c r="AA10">
        <f t="shared" si="0"/>
        <v>17.130207198572599</v>
      </c>
      <c r="AB10">
        <f t="shared" si="0"/>
        <v>17.352113694779103</v>
      </c>
      <c r="AC10">
        <f t="shared" si="0"/>
        <v>17.523143282288043</v>
      </c>
      <c r="AD10">
        <f t="shared" si="0"/>
        <v>17.653538618090106</v>
      </c>
      <c r="AE10">
        <f t="shared" si="0"/>
        <v>17.751480372727602</v>
      </c>
      <c r="AF10">
        <f t="shared" si="1"/>
        <v>17.823502318594198</v>
      </c>
      <c r="AG10">
        <f t="shared" si="1"/>
        <v>17.874822862372664</v>
      </c>
      <c r="AH10">
        <f t="shared" si="1"/>
        <v>17.90960984042351</v>
      </c>
      <c r="AI10">
        <f t="shared" si="1"/>
        <v>17.931192010646566</v>
      </c>
      <c r="AJ10">
        <f t="shared" si="1"/>
        <v>17.94222797041083</v>
      </c>
      <c r="AK10">
        <f t="shared" si="1"/>
        <v>17.944841070450817</v>
      </c>
      <c r="AL10">
        <f t="shared" si="1"/>
        <v>17.940727169625585</v>
      </c>
      <c r="AM10">
        <f t="shared" si="1"/>
        <v>17.931240697639538</v>
      </c>
    </row>
    <row r="11" spans="1:39" x14ac:dyDescent="0.2">
      <c r="A11" s="2" t="s">
        <v>14</v>
      </c>
      <c r="B11" s="2" t="s">
        <v>34</v>
      </c>
      <c r="C11" s="23">
        <v>1.5</v>
      </c>
      <c r="D11" s="23">
        <v>1.8</v>
      </c>
      <c r="E11" s="23">
        <v>2.2000000000000002</v>
      </c>
      <c r="F11" s="23">
        <v>2.6</v>
      </c>
      <c r="G11" s="23">
        <v>3</v>
      </c>
      <c r="H11" s="23">
        <v>3.5</v>
      </c>
      <c r="I11" s="23">
        <v>3.9</v>
      </c>
      <c r="J11" s="23">
        <v>4.4000000000000004</v>
      </c>
      <c r="K11" s="23">
        <v>4.9000000000000004</v>
      </c>
      <c r="L11" s="23">
        <v>5.3</v>
      </c>
      <c r="M11" s="23">
        <v>5.8</v>
      </c>
      <c r="N11" s="23">
        <v>6.3</v>
      </c>
      <c r="O11">
        <f t="shared" si="2"/>
        <v>6.7250543951612904</v>
      </c>
      <c r="P11">
        <f t="shared" si="0"/>
        <v>7.1787487935483849</v>
      </c>
      <c r="Q11">
        <f t="shared" si="0"/>
        <v>7.6630103788631532</v>
      </c>
      <c r="R11">
        <f t="shared" si="0"/>
        <v>8.179895840613927</v>
      </c>
      <c r="S11">
        <f t="shared" si="0"/>
        <v>8.7316000649925964</v>
      </c>
      <c r="T11">
        <f t="shared" si="0"/>
        <v>9.0803597419184623</v>
      </c>
      <c r="U11">
        <f t="shared" si="0"/>
        <v>9.4429996806371932</v>
      </c>
      <c r="V11">
        <f t="shared" si="0"/>
        <v>9.8200702885188456</v>
      </c>
      <c r="W11">
        <f t="shared" si="0"/>
        <v>10.212143717180604</v>
      </c>
      <c r="X11">
        <f t="shared" si="0"/>
        <v>10.619814718177818</v>
      </c>
      <c r="Y11">
        <f t="shared" si="0"/>
        <v>10.928333950887959</v>
      </c>
      <c r="Z11">
        <f t="shared" si="0"/>
        <v>11.170629108227308</v>
      </c>
      <c r="AA11">
        <f t="shared" si="0"/>
        <v>11.360032142211303</v>
      </c>
      <c r="AB11">
        <f t="shared" si="0"/>
        <v>11.507191187064036</v>
      </c>
      <c r="AC11">
        <f t="shared" si="0"/>
        <v>11.620610808254177</v>
      </c>
      <c r="AD11">
        <f t="shared" si="0"/>
        <v>11.707083504628178</v>
      </c>
      <c r="AE11">
        <f t="shared" si="0"/>
        <v>11.772034352440413</v>
      </c>
      <c r="AF11">
        <f t="shared" si="1"/>
        <v>11.819796274436152</v>
      </c>
      <c r="AG11">
        <f t="shared" si="1"/>
        <v>11.85382989820503</v>
      </c>
      <c r="AH11">
        <f t="shared" si="1"/>
        <v>11.876899157333487</v>
      </c>
      <c r="AI11">
        <f t="shared" si="1"/>
        <v>11.891211543902459</v>
      </c>
      <c r="AJ11">
        <f t="shared" si="1"/>
        <v>11.898530127746131</v>
      </c>
      <c r="AK11">
        <f t="shared" si="1"/>
        <v>11.900263025667384</v>
      </c>
      <c r="AL11">
        <f t="shared" si="1"/>
        <v>11.897534859856966</v>
      </c>
      <c r="AM11">
        <f t="shared" si="1"/>
        <v>11.89124383106622</v>
      </c>
    </row>
    <row r="12" spans="1:39" x14ac:dyDescent="0.2">
      <c r="A12" s="2" t="s">
        <v>16</v>
      </c>
      <c r="B12" s="2" t="s">
        <v>34</v>
      </c>
      <c r="C12" s="23">
        <v>2.2000000000000002</v>
      </c>
      <c r="D12" s="23">
        <v>2.5</v>
      </c>
      <c r="E12" s="23">
        <v>2.7</v>
      </c>
      <c r="F12" s="23">
        <v>3</v>
      </c>
      <c r="G12" s="23">
        <v>3.2</v>
      </c>
      <c r="H12" s="23">
        <v>3.5</v>
      </c>
      <c r="I12" s="23">
        <v>3.8</v>
      </c>
      <c r="J12" s="23">
        <v>4.0999999999999996</v>
      </c>
      <c r="K12" s="23">
        <v>4.4000000000000004</v>
      </c>
      <c r="L12" s="23">
        <v>4.7</v>
      </c>
      <c r="M12" s="23">
        <v>5</v>
      </c>
      <c r="N12" s="23">
        <v>5.4</v>
      </c>
      <c r="O12">
        <f t="shared" si="2"/>
        <v>5.7643323387096777</v>
      </c>
      <c r="P12">
        <f t="shared" si="0"/>
        <v>6.1532132516129021</v>
      </c>
      <c r="Q12">
        <f t="shared" si="0"/>
        <v>6.5682946104541324</v>
      </c>
      <c r="R12">
        <f t="shared" si="0"/>
        <v>7.0113392919547959</v>
      </c>
      <c r="S12">
        <f t="shared" si="0"/>
        <v>7.4842286271365124</v>
      </c>
      <c r="T12">
        <f t="shared" si="0"/>
        <v>7.7831654930729695</v>
      </c>
      <c r="U12">
        <f t="shared" si="0"/>
        <v>8.0939997262604511</v>
      </c>
      <c r="V12">
        <f t="shared" si="0"/>
        <v>8.4172031044447273</v>
      </c>
      <c r="W12">
        <f t="shared" si="0"/>
        <v>8.7532660432976606</v>
      </c>
      <c r="X12">
        <f t="shared" si="0"/>
        <v>9.102698329866703</v>
      </c>
      <c r="Y12">
        <f t="shared" si="0"/>
        <v>9.3671433864753944</v>
      </c>
      <c r="Z12">
        <f t="shared" si="0"/>
        <v>9.5748249499091234</v>
      </c>
      <c r="AA12">
        <f t="shared" si="0"/>
        <v>9.7371704076096872</v>
      </c>
      <c r="AB12">
        <f t="shared" si="0"/>
        <v>9.8633067317691729</v>
      </c>
      <c r="AC12">
        <f t="shared" si="0"/>
        <v>9.9605235499321534</v>
      </c>
      <c r="AD12">
        <f t="shared" si="0"/>
        <v>10.034643003967011</v>
      </c>
      <c r="AE12">
        <f t="shared" si="0"/>
        <v>10.09031515923464</v>
      </c>
      <c r="AF12">
        <f t="shared" si="1"/>
        <v>10.131253949516703</v>
      </c>
      <c r="AG12">
        <f t="shared" si="1"/>
        <v>10.160425627032884</v>
      </c>
      <c r="AH12">
        <f t="shared" si="1"/>
        <v>10.180199277714419</v>
      </c>
      <c r="AI12">
        <f t="shared" si="1"/>
        <v>10.192467037630681</v>
      </c>
      <c r="AJ12">
        <f t="shared" si="1"/>
        <v>10.198740109496683</v>
      </c>
      <c r="AK12">
        <f t="shared" si="1"/>
        <v>10.200225450572043</v>
      </c>
      <c r="AL12">
        <f t="shared" si="1"/>
        <v>10.197887022734543</v>
      </c>
      <c r="AM12">
        <f t="shared" si="1"/>
        <v>10.192494712342475</v>
      </c>
    </row>
    <row r="13" spans="1:39" x14ac:dyDescent="0.2">
      <c r="A13" s="5" t="s">
        <v>17</v>
      </c>
      <c r="B13" s="2" t="s">
        <v>34</v>
      </c>
      <c r="C13" s="21">
        <v>2.7</v>
      </c>
      <c r="D13" s="21">
        <v>2.9</v>
      </c>
      <c r="E13" s="21">
        <v>3</v>
      </c>
      <c r="F13" s="21">
        <v>3.2</v>
      </c>
      <c r="G13" s="21">
        <v>3.4</v>
      </c>
      <c r="H13" s="21">
        <v>3.5</v>
      </c>
      <c r="I13" s="21">
        <v>3.7</v>
      </c>
      <c r="J13" s="21">
        <v>3.9</v>
      </c>
      <c r="K13" s="21">
        <v>4.2</v>
      </c>
      <c r="L13" s="21">
        <v>4.4000000000000004</v>
      </c>
      <c r="M13" s="21">
        <v>4.5999999999999996</v>
      </c>
      <c r="N13" s="21">
        <v>4.8</v>
      </c>
      <c r="O13">
        <f t="shared" si="2"/>
        <v>5.1238509677419355</v>
      </c>
      <c r="P13">
        <f t="shared" si="0"/>
        <v>5.4695228903225797</v>
      </c>
      <c r="Q13">
        <f t="shared" si="0"/>
        <v>5.8384840981814499</v>
      </c>
      <c r="R13">
        <f t="shared" si="0"/>
        <v>6.2323015928487067</v>
      </c>
      <c r="S13">
        <f t="shared" si="0"/>
        <v>6.6526476685657876</v>
      </c>
      <c r="T13">
        <f t="shared" si="0"/>
        <v>6.9183693271759719</v>
      </c>
      <c r="U13">
        <f t="shared" si="0"/>
        <v>7.194666423342623</v>
      </c>
      <c r="V13">
        <f t="shared" si="0"/>
        <v>7.4819583150619788</v>
      </c>
      <c r="W13">
        <f t="shared" si="0"/>
        <v>7.7806809273756983</v>
      </c>
      <c r="X13">
        <f t="shared" si="0"/>
        <v>8.0912874043259571</v>
      </c>
      <c r="Y13">
        <f t="shared" si="0"/>
        <v>8.3263496768670162</v>
      </c>
      <c r="Z13">
        <f t="shared" si="0"/>
        <v>8.5109555110303301</v>
      </c>
      <c r="AA13">
        <f t="shared" si="0"/>
        <v>8.6552625845419442</v>
      </c>
      <c r="AB13">
        <f t="shared" si="0"/>
        <v>8.7673837615725994</v>
      </c>
      <c r="AC13">
        <f t="shared" si="0"/>
        <v>8.8537987110508016</v>
      </c>
      <c r="AD13">
        <f t="shared" si="0"/>
        <v>8.9196826701928966</v>
      </c>
      <c r="AE13">
        <f t="shared" si="0"/>
        <v>8.9691690304307894</v>
      </c>
      <c r="AF13">
        <f t="shared" si="1"/>
        <v>9.0055590662370673</v>
      </c>
      <c r="AG13">
        <f t="shared" si="1"/>
        <v>9.0314894462514523</v>
      </c>
      <c r="AH13">
        <f t="shared" si="1"/>
        <v>9.049066024635037</v>
      </c>
      <c r="AI13">
        <f t="shared" si="1"/>
        <v>9.0599707001161587</v>
      </c>
      <c r="AJ13">
        <f t="shared" si="1"/>
        <v>9.0655467639970517</v>
      </c>
      <c r="AK13">
        <f t="shared" si="1"/>
        <v>9.0668670671751492</v>
      </c>
      <c r="AL13">
        <f t="shared" si="1"/>
        <v>9.0647884646529278</v>
      </c>
      <c r="AM13">
        <f t="shared" si="1"/>
        <v>9.0599952998599758</v>
      </c>
    </row>
    <row r="14" spans="1:39" x14ac:dyDescent="0.2">
      <c r="A14" s="2" t="s">
        <v>18</v>
      </c>
      <c r="B14" s="2" t="s">
        <v>34</v>
      </c>
      <c r="C14" s="23">
        <v>1.2</v>
      </c>
      <c r="D14" s="23">
        <v>1.5</v>
      </c>
      <c r="E14" s="23">
        <v>1.8</v>
      </c>
      <c r="F14" s="23">
        <v>2</v>
      </c>
      <c r="G14" s="23">
        <v>2.2999999999999998</v>
      </c>
      <c r="H14" s="23">
        <v>2.6</v>
      </c>
      <c r="I14" s="23">
        <v>3</v>
      </c>
      <c r="J14" s="23">
        <v>3.3</v>
      </c>
      <c r="K14" s="23">
        <v>3.6</v>
      </c>
      <c r="L14" s="23">
        <v>4</v>
      </c>
      <c r="M14" s="23">
        <v>4.3</v>
      </c>
      <c r="N14" s="23">
        <v>4.5999999999999996</v>
      </c>
      <c r="O14">
        <f t="shared" si="2"/>
        <v>4.9103571774193542</v>
      </c>
      <c r="P14">
        <f t="shared" si="0"/>
        <v>5.2416261032258049</v>
      </c>
      <c r="Q14">
        <f t="shared" si="0"/>
        <v>5.595213927423889</v>
      </c>
      <c r="R14">
        <f t="shared" si="0"/>
        <v>5.9726223598133439</v>
      </c>
      <c r="S14">
        <f t="shared" si="0"/>
        <v>6.375454015708879</v>
      </c>
      <c r="T14">
        <f t="shared" si="0"/>
        <v>6.6301039385436393</v>
      </c>
      <c r="U14">
        <f t="shared" si="0"/>
        <v>6.8948886557033466</v>
      </c>
      <c r="V14">
        <f t="shared" si="0"/>
        <v>7.1702100519343954</v>
      </c>
      <c r="W14">
        <f t="shared" si="0"/>
        <v>7.4564858887350436</v>
      </c>
      <c r="X14">
        <f t="shared" si="0"/>
        <v>7.7541504291457084</v>
      </c>
      <c r="Y14">
        <f t="shared" si="0"/>
        <v>7.9794184403308899</v>
      </c>
      <c r="Z14">
        <f t="shared" si="0"/>
        <v>8.1563323647374002</v>
      </c>
      <c r="AA14">
        <f t="shared" si="0"/>
        <v>8.2946266435193632</v>
      </c>
      <c r="AB14">
        <f t="shared" si="0"/>
        <v>8.4020761048404076</v>
      </c>
      <c r="AC14">
        <f t="shared" si="0"/>
        <v>8.4848904314236844</v>
      </c>
      <c r="AD14">
        <f t="shared" si="0"/>
        <v>8.5480292256015247</v>
      </c>
      <c r="AE14">
        <f t="shared" si="0"/>
        <v>8.5954536541628386</v>
      </c>
      <c r="AF14">
        <f t="shared" si="1"/>
        <v>8.6303274384771882</v>
      </c>
      <c r="AG14">
        <f t="shared" si="1"/>
        <v>8.6551773859909744</v>
      </c>
      <c r="AH14">
        <f t="shared" si="1"/>
        <v>8.6720216069419109</v>
      </c>
      <c r="AI14">
        <f t="shared" si="1"/>
        <v>8.6824719209446517</v>
      </c>
      <c r="AJ14">
        <f t="shared" si="1"/>
        <v>8.6878156488305081</v>
      </c>
      <c r="AK14">
        <f t="shared" si="1"/>
        <v>8.6890809393761845</v>
      </c>
      <c r="AL14">
        <f t="shared" si="1"/>
        <v>8.6870889452923876</v>
      </c>
      <c r="AM14">
        <f t="shared" si="1"/>
        <v>8.6824954956991434</v>
      </c>
    </row>
    <row r="15" spans="1:39" x14ac:dyDescent="0.2">
      <c r="A15" s="5" t="s">
        <v>19</v>
      </c>
      <c r="B15" s="2" t="s">
        <v>34</v>
      </c>
      <c r="C15" s="21">
        <v>1.1000000000000001</v>
      </c>
      <c r="D15" s="21">
        <v>1.2</v>
      </c>
      <c r="E15" s="21">
        <v>1.4</v>
      </c>
      <c r="F15" s="21">
        <v>1.6</v>
      </c>
      <c r="G15" s="21">
        <v>1.8</v>
      </c>
      <c r="H15" s="21">
        <v>2.1</v>
      </c>
      <c r="I15" s="21">
        <v>2.2999999999999998</v>
      </c>
      <c r="J15" s="21">
        <v>2.5</v>
      </c>
      <c r="K15" s="21">
        <v>2.8</v>
      </c>
      <c r="L15" s="21">
        <v>3</v>
      </c>
      <c r="M15" s="21">
        <v>3.3</v>
      </c>
      <c r="N15" s="21">
        <v>3.5</v>
      </c>
      <c r="O15">
        <f t="shared" si="2"/>
        <v>3.7361413306451614</v>
      </c>
      <c r="P15">
        <f t="shared" si="0"/>
        <v>3.9881937741935478</v>
      </c>
      <c r="Q15">
        <f t="shared" si="0"/>
        <v>4.2572279882573074</v>
      </c>
      <c r="R15">
        <f t="shared" si="0"/>
        <v>4.5443865781188491</v>
      </c>
      <c r="S15">
        <f t="shared" si="0"/>
        <v>4.8508889249958873</v>
      </c>
      <c r="T15">
        <f t="shared" si="0"/>
        <v>5.0446443010658131</v>
      </c>
      <c r="U15">
        <f t="shared" si="0"/>
        <v>5.2461109336873299</v>
      </c>
      <c r="V15">
        <f t="shared" si="0"/>
        <v>5.4555946047326929</v>
      </c>
      <c r="W15">
        <f t="shared" si="0"/>
        <v>5.6734131762114473</v>
      </c>
      <c r="X15">
        <f t="shared" si="0"/>
        <v>5.8998970656543435</v>
      </c>
      <c r="Y15">
        <f t="shared" si="0"/>
        <v>6.071296639382199</v>
      </c>
      <c r="Z15">
        <f t="shared" si="0"/>
        <v>6.2059050601262831</v>
      </c>
      <c r="AA15">
        <f t="shared" si="0"/>
        <v>6.3111289678951685</v>
      </c>
      <c r="AB15">
        <f t="shared" si="0"/>
        <v>6.3928839928133527</v>
      </c>
      <c r="AC15">
        <f t="shared" si="0"/>
        <v>6.455894893474543</v>
      </c>
      <c r="AD15">
        <f t="shared" si="0"/>
        <v>6.5039352803489878</v>
      </c>
      <c r="AE15">
        <f t="shared" si="0"/>
        <v>6.5400190846891171</v>
      </c>
      <c r="AF15">
        <f t="shared" si="1"/>
        <v>6.5665534857978614</v>
      </c>
      <c r="AG15">
        <f t="shared" si="1"/>
        <v>6.5854610545583503</v>
      </c>
      <c r="AH15">
        <f t="shared" si="1"/>
        <v>6.5982773096297151</v>
      </c>
      <c r="AI15">
        <f t="shared" si="1"/>
        <v>6.6062286355013669</v>
      </c>
      <c r="AJ15">
        <f t="shared" si="1"/>
        <v>6.6102945154145161</v>
      </c>
      <c r="AK15">
        <f t="shared" si="1"/>
        <v>6.6112572364818805</v>
      </c>
      <c r="AL15">
        <f t="shared" si="1"/>
        <v>6.6097415888094266</v>
      </c>
      <c r="AM15">
        <f t="shared" si="1"/>
        <v>6.6062465728145661</v>
      </c>
    </row>
    <row r="16" spans="1:39" x14ac:dyDescent="0.2">
      <c r="A16" s="2" t="s">
        <v>66</v>
      </c>
      <c r="B16" s="2" t="s">
        <v>34</v>
      </c>
      <c r="C16" s="23">
        <v>1.3</v>
      </c>
      <c r="D16" s="23">
        <v>1.5</v>
      </c>
      <c r="E16" s="23">
        <v>1.7</v>
      </c>
      <c r="F16" s="23">
        <v>1.8</v>
      </c>
      <c r="G16" s="23">
        <v>2</v>
      </c>
      <c r="H16" s="23">
        <v>2.2000000000000002</v>
      </c>
      <c r="I16" s="23">
        <v>2.4</v>
      </c>
      <c r="J16" s="23">
        <v>2.6</v>
      </c>
      <c r="K16" s="23">
        <v>2.8</v>
      </c>
      <c r="L16" s="23">
        <v>3.1</v>
      </c>
      <c r="M16" s="23">
        <v>3.3</v>
      </c>
      <c r="N16" s="23">
        <v>3.5</v>
      </c>
      <c r="O16">
        <f t="shared" si="2"/>
        <v>3.7361413306451614</v>
      </c>
      <c r="P16">
        <f t="shared" si="0"/>
        <v>3.9881937741935478</v>
      </c>
      <c r="Q16">
        <f t="shared" si="0"/>
        <v>4.2572279882573074</v>
      </c>
      <c r="R16">
        <f t="shared" si="0"/>
        <v>4.5443865781188491</v>
      </c>
      <c r="S16">
        <f t="shared" si="0"/>
        <v>4.8508889249958873</v>
      </c>
      <c r="T16">
        <f t="shared" si="0"/>
        <v>5.0446443010658131</v>
      </c>
      <c r="U16">
        <f t="shared" si="0"/>
        <v>5.2461109336873299</v>
      </c>
      <c r="V16">
        <f t="shared" si="0"/>
        <v>5.4555946047326929</v>
      </c>
      <c r="W16">
        <f t="shared" si="0"/>
        <v>5.6734131762114473</v>
      </c>
      <c r="X16">
        <f t="shared" si="0"/>
        <v>5.8998970656543435</v>
      </c>
      <c r="Y16">
        <f t="shared" si="0"/>
        <v>6.071296639382199</v>
      </c>
      <c r="Z16">
        <f t="shared" si="0"/>
        <v>6.2059050601262831</v>
      </c>
      <c r="AA16">
        <f t="shared" si="0"/>
        <v>6.3111289678951685</v>
      </c>
      <c r="AB16">
        <f t="shared" si="0"/>
        <v>6.3928839928133527</v>
      </c>
      <c r="AC16">
        <f t="shared" si="0"/>
        <v>6.455894893474543</v>
      </c>
      <c r="AD16">
        <f t="shared" si="0"/>
        <v>6.5039352803489878</v>
      </c>
      <c r="AE16">
        <f t="shared" si="0"/>
        <v>6.5400190846891171</v>
      </c>
      <c r="AF16">
        <f t="shared" si="1"/>
        <v>6.5665534857978614</v>
      </c>
      <c r="AG16">
        <f t="shared" si="1"/>
        <v>6.5854610545583503</v>
      </c>
      <c r="AH16">
        <f t="shared" si="1"/>
        <v>6.5982773096297151</v>
      </c>
      <c r="AI16">
        <f t="shared" si="1"/>
        <v>6.6062286355013669</v>
      </c>
      <c r="AJ16">
        <f t="shared" si="1"/>
        <v>6.6102945154145161</v>
      </c>
      <c r="AK16">
        <f t="shared" si="1"/>
        <v>6.6112572364818805</v>
      </c>
      <c r="AL16">
        <f t="shared" si="1"/>
        <v>6.6097415888094266</v>
      </c>
      <c r="AM16">
        <f t="shared" si="1"/>
        <v>6.6062465728145661</v>
      </c>
    </row>
    <row r="17" spans="1:39" x14ac:dyDescent="0.2">
      <c r="A17" s="5" t="s">
        <v>21</v>
      </c>
      <c r="B17" s="2" t="s">
        <v>34</v>
      </c>
      <c r="C17" s="21">
        <v>1.6</v>
      </c>
      <c r="D17" s="21">
        <v>1.7</v>
      </c>
      <c r="E17" s="21">
        <v>1.8</v>
      </c>
      <c r="F17" s="21">
        <v>1.9</v>
      </c>
      <c r="G17" s="21">
        <v>2</v>
      </c>
      <c r="H17" s="21">
        <v>2.2000000000000002</v>
      </c>
      <c r="I17" s="21">
        <v>2.2999999999999998</v>
      </c>
      <c r="J17" s="21">
        <v>2.5</v>
      </c>
      <c r="K17" s="21">
        <v>2.6</v>
      </c>
      <c r="L17" s="21">
        <v>2.8</v>
      </c>
      <c r="M17" s="21">
        <v>3</v>
      </c>
      <c r="N17" s="21">
        <v>3.1</v>
      </c>
      <c r="O17">
        <f t="shared" si="2"/>
        <v>3.3091537500000006</v>
      </c>
      <c r="P17">
        <f t="shared" si="0"/>
        <v>3.5324001999999992</v>
      </c>
      <c r="Q17">
        <f t="shared" si="0"/>
        <v>3.7706876467421866</v>
      </c>
      <c r="R17">
        <f t="shared" si="0"/>
        <v>4.0250281120481226</v>
      </c>
      <c r="S17">
        <f t="shared" si="0"/>
        <v>4.296501619282072</v>
      </c>
      <c r="T17">
        <f t="shared" si="0"/>
        <v>4.468113523801148</v>
      </c>
      <c r="U17">
        <f t="shared" si="0"/>
        <v>4.6465553984087782</v>
      </c>
      <c r="V17">
        <f t="shared" si="0"/>
        <v>4.8320980784775278</v>
      </c>
      <c r="W17">
        <f t="shared" si="0"/>
        <v>5.0250230989301388</v>
      </c>
      <c r="X17">
        <f t="shared" si="0"/>
        <v>5.225623115293847</v>
      </c>
      <c r="Y17">
        <f t="shared" si="0"/>
        <v>5.3774341663099481</v>
      </c>
      <c r="Z17">
        <f t="shared" si="0"/>
        <v>5.4966587675404215</v>
      </c>
      <c r="AA17">
        <f t="shared" si="0"/>
        <v>5.5898570858500065</v>
      </c>
      <c r="AB17">
        <f t="shared" si="0"/>
        <v>5.66226867934897</v>
      </c>
      <c r="AC17">
        <f t="shared" si="0"/>
        <v>5.7180783342203094</v>
      </c>
      <c r="AD17">
        <f t="shared" si="0"/>
        <v>5.7606283911662466</v>
      </c>
      <c r="AE17">
        <f t="shared" si="0"/>
        <v>5.792588332153219</v>
      </c>
      <c r="AF17">
        <f t="shared" si="1"/>
        <v>5.8160902302781068</v>
      </c>
      <c r="AG17">
        <f t="shared" si="1"/>
        <v>5.8328369340373962</v>
      </c>
      <c r="AH17">
        <f t="shared" si="1"/>
        <v>5.8441884742434622</v>
      </c>
      <c r="AI17">
        <f t="shared" si="1"/>
        <v>5.8512310771583538</v>
      </c>
      <c r="AJ17">
        <f t="shared" si="1"/>
        <v>5.8548322850814296</v>
      </c>
      <c r="AK17">
        <f t="shared" si="1"/>
        <v>5.8556849808839511</v>
      </c>
      <c r="AL17">
        <f t="shared" si="1"/>
        <v>5.854342550088349</v>
      </c>
      <c r="AM17">
        <f t="shared" si="1"/>
        <v>5.8512469644929022</v>
      </c>
    </row>
    <row r="18" spans="1:39" x14ac:dyDescent="0.2">
      <c r="A18" s="2" t="s">
        <v>22</v>
      </c>
      <c r="B18" s="2" t="s">
        <v>34</v>
      </c>
      <c r="C18" s="23">
        <v>0.5</v>
      </c>
      <c r="D18" s="23">
        <v>0.6</v>
      </c>
      <c r="E18" s="23">
        <v>0.7</v>
      </c>
      <c r="F18" s="23">
        <v>0.8</v>
      </c>
      <c r="G18" s="23">
        <v>0.9</v>
      </c>
      <c r="H18" s="23">
        <v>1</v>
      </c>
      <c r="I18" s="23">
        <v>1.2</v>
      </c>
      <c r="J18" s="23">
        <v>1.3</v>
      </c>
      <c r="K18" s="23">
        <v>1.5</v>
      </c>
      <c r="L18" s="23">
        <v>1.6</v>
      </c>
      <c r="M18" s="23">
        <v>1.8</v>
      </c>
      <c r="N18" s="23">
        <v>1.9</v>
      </c>
      <c r="O18">
        <f t="shared" si="2"/>
        <v>2.0281910080645162</v>
      </c>
      <c r="P18">
        <f t="shared" si="0"/>
        <v>2.1650194774193543</v>
      </c>
      <c r="Q18">
        <f t="shared" si="0"/>
        <v>2.3110666221968241</v>
      </c>
      <c r="R18">
        <f t="shared" si="0"/>
        <v>2.4669527138359464</v>
      </c>
      <c r="S18">
        <f t="shared" si="0"/>
        <v>2.6333397021406242</v>
      </c>
      <c r="T18">
        <f t="shared" si="0"/>
        <v>2.7385211920071555</v>
      </c>
      <c r="U18">
        <f t="shared" si="0"/>
        <v>2.8478887925731216</v>
      </c>
      <c r="V18">
        <f t="shared" si="0"/>
        <v>2.9616084997120331</v>
      </c>
      <c r="W18">
        <f t="shared" si="0"/>
        <v>3.0798528670862138</v>
      </c>
      <c r="X18">
        <f t="shared" si="0"/>
        <v>3.2028012642123578</v>
      </c>
      <c r="Y18">
        <f t="shared" si="0"/>
        <v>3.295846747093194</v>
      </c>
      <c r="Z18">
        <f t="shared" si="0"/>
        <v>3.368919889782839</v>
      </c>
      <c r="AA18">
        <f t="shared" si="0"/>
        <v>3.4260414397145191</v>
      </c>
      <c r="AB18">
        <f t="shared" si="0"/>
        <v>3.4704227389558202</v>
      </c>
      <c r="AC18">
        <f t="shared" si="0"/>
        <v>3.504628656457609</v>
      </c>
      <c r="AD18">
        <f t="shared" si="0"/>
        <v>3.5307077236180215</v>
      </c>
      <c r="AE18">
        <f t="shared" ref="AE18:AM25" si="3">$N18*AE$2/$N$2</f>
        <v>3.5502960745455208</v>
      </c>
      <c r="AF18">
        <f t="shared" si="3"/>
        <v>3.5647004637188391</v>
      </c>
      <c r="AG18">
        <f t="shared" si="3"/>
        <v>3.5749645724745327</v>
      </c>
      <c r="AH18">
        <f t="shared" si="3"/>
        <v>3.5819219680847021</v>
      </c>
      <c r="AI18">
        <f t="shared" si="3"/>
        <v>3.5862384021293128</v>
      </c>
      <c r="AJ18">
        <f t="shared" si="3"/>
        <v>3.5884455940821662</v>
      </c>
      <c r="AK18">
        <f t="shared" si="3"/>
        <v>3.5889682140901629</v>
      </c>
      <c r="AL18">
        <f t="shared" si="3"/>
        <v>3.5881454339251166</v>
      </c>
      <c r="AM18">
        <f t="shared" si="3"/>
        <v>3.5862481395279073</v>
      </c>
    </row>
    <row r="19" spans="1:39" x14ac:dyDescent="0.2">
      <c r="A19" s="5" t="s">
        <v>23</v>
      </c>
      <c r="B19" s="2" t="s">
        <v>34</v>
      </c>
      <c r="C19" s="21">
        <v>1</v>
      </c>
      <c r="D19" s="21">
        <v>1</v>
      </c>
      <c r="E19" s="21">
        <v>1.1000000000000001</v>
      </c>
      <c r="F19" s="21">
        <v>1.2</v>
      </c>
      <c r="G19" s="21">
        <v>1.3</v>
      </c>
      <c r="H19" s="21">
        <v>1.3</v>
      </c>
      <c r="I19" s="21">
        <v>1.4</v>
      </c>
      <c r="J19" s="21">
        <v>1.5</v>
      </c>
      <c r="K19" s="21">
        <v>1.6</v>
      </c>
      <c r="L19" s="21">
        <v>1.7</v>
      </c>
      <c r="M19" s="21">
        <v>1.8</v>
      </c>
      <c r="N19" s="21">
        <v>1.9</v>
      </c>
      <c r="O19">
        <f t="shared" si="2"/>
        <v>2.0281910080645162</v>
      </c>
      <c r="P19">
        <f t="shared" si="2"/>
        <v>2.1650194774193543</v>
      </c>
      <c r="Q19">
        <f t="shared" si="2"/>
        <v>2.3110666221968241</v>
      </c>
      <c r="R19">
        <f t="shared" si="2"/>
        <v>2.4669527138359464</v>
      </c>
      <c r="S19">
        <f t="shared" si="2"/>
        <v>2.6333397021406242</v>
      </c>
      <c r="T19">
        <f t="shared" si="2"/>
        <v>2.7385211920071555</v>
      </c>
      <c r="U19">
        <f t="shared" si="2"/>
        <v>2.8478887925731216</v>
      </c>
      <c r="V19">
        <f t="shared" si="2"/>
        <v>2.9616084997120331</v>
      </c>
      <c r="W19">
        <f t="shared" si="2"/>
        <v>3.0798528670862138</v>
      </c>
      <c r="X19">
        <f t="shared" si="2"/>
        <v>3.2028012642123578</v>
      </c>
      <c r="Y19">
        <f t="shared" si="2"/>
        <v>3.295846747093194</v>
      </c>
      <c r="Z19">
        <f t="shared" si="2"/>
        <v>3.368919889782839</v>
      </c>
      <c r="AA19">
        <f t="shared" si="2"/>
        <v>3.4260414397145191</v>
      </c>
      <c r="AB19">
        <f t="shared" si="2"/>
        <v>3.4704227389558202</v>
      </c>
      <c r="AC19">
        <f t="shared" si="2"/>
        <v>3.504628656457609</v>
      </c>
      <c r="AD19">
        <f t="shared" si="2"/>
        <v>3.5307077236180215</v>
      </c>
      <c r="AE19">
        <f t="shared" si="3"/>
        <v>3.5502960745455208</v>
      </c>
      <c r="AF19">
        <f t="shared" si="3"/>
        <v>3.5647004637188391</v>
      </c>
      <c r="AG19">
        <f t="shared" si="3"/>
        <v>3.5749645724745327</v>
      </c>
      <c r="AH19">
        <f t="shared" si="3"/>
        <v>3.5819219680847021</v>
      </c>
      <c r="AI19">
        <f t="shared" si="3"/>
        <v>3.5862384021293128</v>
      </c>
      <c r="AJ19">
        <f t="shared" si="3"/>
        <v>3.5884455940821662</v>
      </c>
      <c r="AK19">
        <f t="shared" si="3"/>
        <v>3.5889682140901629</v>
      </c>
      <c r="AL19">
        <f t="shared" si="3"/>
        <v>3.5881454339251166</v>
      </c>
      <c r="AM19">
        <f t="shared" si="3"/>
        <v>3.5862481395279073</v>
      </c>
    </row>
    <row r="20" spans="1:39" x14ac:dyDescent="0.2">
      <c r="A20" s="2" t="s">
        <v>24</v>
      </c>
      <c r="B20" s="2" t="s">
        <v>34</v>
      </c>
      <c r="C20" s="23">
        <v>0.5</v>
      </c>
      <c r="D20" s="23">
        <v>0.6</v>
      </c>
      <c r="E20" s="23">
        <v>0.7</v>
      </c>
      <c r="F20" s="23">
        <v>0.8</v>
      </c>
      <c r="G20" s="23">
        <v>0.9</v>
      </c>
      <c r="H20" s="23">
        <v>1.1000000000000001</v>
      </c>
      <c r="I20" s="23">
        <v>1.2</v>
      </c>
      <c r="J20" s="23">
        <v>1.3</v>
      </c>
      <c r="K20" s="23">
        <v>1.4</v>
      </c>
      <c r="L20" s="23">
        <v>1.6</v>
      </c>
      <c r="M20" s="23">
        <v>1.7</v>
      </c>
      <c r="N20" s="23">
        <v>1.9</v>
      </c>
      <c r="O20">
        <f t="shared" si="2"/>
        <v>2.0281910080645162</v>
      </c>
      <c r="P20">
        <f t="shared" si="2"/>
        <v>2.1650194774193543</v>
      </c>
      <c r="Q20">
        <f t="shared" si="2"/>
        <v>2.3110666221968241</v>
      </c>
      <c r="R20">
        <f t="shared" si="2"/>
        <v>2.4669527138359464</v>
      </c>
      <c r="S20">
        <f t="shared" si="2"/>
        <v>2.6333397021406242</v>
      </c>
      <c r="T20">
        <f t="shared" si="2"/>
        <v>2.7385211920071555</v>
      </c>
      <c r="U20">
        <f t="shared" si="2"/>
        <v>2.8478887925731216</v>
      </c>
      <c r="V20">
        <f t="shared" si="2"/>
        <v>2.9616084997120331</v>
      </c>
      <c r="W20">
        <f t="shared" si="2"/>
        <v>3.0798528670862138</v>
      </c>
      <c r="X20">
        <f t="shared" si="2"/>
        <v>3.2028012642123578</v>
      </c>
      <c r="Y20">
        <f t="shared" si="2"/>
        <v>3.295846747093194</v>
      </c>
      <c r="Z20">
        <f t="shared" si="2"/>
        <v>3.368919889782839</v>
      </c>
      <c r="AA20">
        <f t="shared" si="2"/>
        <v>3.4260414397145191</v>
      </c>
      <c r="AB20">
        <f t="shared" si="2"/>
        <v>3.4704227389558202</v>
      </c>
      <c r="AC20">
        <f t="shared" si="2"/>
        <v>3.504628656457609</v>
      </c>
      <c r="AD20">
        <f t="shared" si="2"/>
        <v>3.5307077236180215</v>
      </c>
      <c r="AE20">
        <f t="shared" si="3"/>
        <v>3.5502960745455208</v>
      </c>
      <c r="AF20">
        <f t="shared" si="3"/>
        <v>3.5647004637188391</v>
      </c>
      <c r="AG20">
        <f t="shared" si="3"/>
        <v>3.5749645724745327</v>
      </c>
      <c r="AH20">
        <f t="shared" si="3"/>
        <v>3.5819219680847021</v>
      </c>
      <c r="AI20">
        <f t="shared" si="3"/>
        <v>3.5862384021293128</v>
      </c>
      <c r="AJ20">
        <f t="shared" si="3"/>
        <v>3.5884455940821662</v>
      </c>
      <c r="AK20">
        <f t="shared" si="3"/>
        <v>3.5889682140901629</v>
      </c>
      <c r="AL20">
        <f t="shared" si="3"/>
        <v>3.5881454339251166</v>
      </c>
      <c r="AM20">
        <f t="shared" si="3"/>
        <v>3.5862481395279073</v>
      </c>
    </row>
    <row r="21" spans="1:39" x14ac:dyDescent="0.2">
      <c r="A21" s="5" t="s">
        <v>25</v>
      </c>
      <c r="B21" s="2" t="s">
        <v>34</v>
      </c>
      <c r="C21" s="21">
        <v>0.5</v>
      </c>
      <c r="D21" s="21">
        <v>0.6</v>
      </c>
      <c r="E21" s="21">
        <v>0.7</v>
      </c>
      <c r="F21" s="21">
        <v>0.8</v>
      </c>
      <c r="G21" s="21">
        <v>0.9</v>
      </c>
      <c r="H21" s="21">
        <v>1</v>
      </c>
      <c r="I21" s="21">
        <v>1.1000000000000001</v>
      </c>
      <c r="J21" s="21">
        <v>1.2</v>
      </c>
      <c r="K21" s="21">
        <v>1.3</v>
      </c>
      <c r="L21" s="21">
        <v>1.4</v>
      </c>
      <c r="M21" s="21">
        <v>1.5</v>
      </c>
      <c r="N21" s="21">
        <v>1.7</v>
      </c>
      <c r="O21">
        <f t="shared" si="2"/>
        <v>1.8146972177419356</v>
      </c>
      <c r="P21">
        <f t="shared" si="2"/>
        <v>1.9371226903225802</v>
      </c>
      <c r="Q21">
        <f t="shared" si="2"/>
        <v>2.0677964514392637</v>
      </c>
      <c r="R21">
        <f t="shared" si="2"/>
        <v>2.2072734808005836</v>
      </c>
      <c r="S21">
        <f t="shared" si="2"/>
        <v>2.3561460492837165</v>
      </c>
      <c r="T21">
        <f t="shared" si="2"/>
        <v>2.4502558033748234</v>
      </c>
      <c r="U21">
        <f t="shared" si="2"/>
        <v>2.5481110249338457</v>
      </c>
      <c r="V21">
        <f t="shared" si="2"/>
        <v>2.6498602365844506</v>
      </c>
      <c r="W21">
        <f t="shared" si="2"/>
        <v>2.7556578284455595</v>
      </c>
      <c r="X21">
        <f t="shared" si="2"/>
        <v>2.8656642890321096</v>
      </c>
      <c r="Y21">
        <f t="shared" si="2"/>
        <v>2.9489155105570681</v>
      </c>
      <c r="Z21">
        <f t="shared" si="2"/>
        <v>3.0142967434899091</v>
      </c>
      <c r="AA21">
        <f t="shared" si="2"/>
        <v>3.065405498691939</v>
      </c>
      <c r="AB21">
        <f t="shared" si="2"/>
        <v>3.1051150822236289</v>
      </c>
      <c r="AC21">
        <f t="shared" si="2"/>
        <v>3.1357203768304918</v>
      </c>
      <c r="AD21">
        <f t="shared" si="2"/>
        <v>3.1590542790266509</v>
      </c>
      <c r="AE21">
        <f t="shared" si="3"/>
        <v>3.1765806982775713</v>
      </c>
      <c r="AF21">
        <f t="shared" si="3"/>
        <v>3.1894688359589614</v>
      </c>
      <c r="AG21">
        <f t="shared" si="3"/>
        <v>3.1986525122140561</v>
      </c>
      <c r="AH21">
        <f t="shared" si="3"/>
        <v>3.2048775503915756</v>
      </c>
      <c r="AI21">
        <f t="shared" si="3"/>
        <v>3.2087396229578062</v>
      </c>
      <c r="AJ21">
        <f t="shared" si="3"/>
        <v>3.2107144789156221</v>
      </c>
      <c r="AK21">
        <f t="shared" si="3"/>
        <v>3.2111820862911986</v>
      </c>
      <c r="AL21">
        <f t="shared" si="3"/>
        <v>3.2104459145645783</v>
      </c>
      <c r="AM21">
        <f t="shared" si="3"/>
        <v>3.2087483353670745</v>
      </c>
    </row>
    <row r="22" spans="1:39" x14ac:dyDescent="0.2">
      <c r="A22" s="2" t="s">
        <v>26</v>
      </c>
      <c r="B22" s="2" t="s">
        <v>34</v>
      </c>
      <c r="C22" s="23">
        <v>0.6</v>
      </c>
      <c r="D22" s="23">
        <v>0.6</v>
      </c>
      <c r="E22" s="23">
        <v>0.7</v>
      </c>
      <c r="F22" s="23">
        <v>0.7</v>
      </c>
      <c r="G22" s="23">
        <v>0.8</v>
      </c>
      <c r="H22" s="23">
        <v>0.9</v>
      </c>
      <c r="I22" s="23">
        <v>0.9</v>
      </c>
      <c r="J22" s="23">
        <v>1</v>
      </c>
      <c r="K22" s="23">
        <v>1.1000000000000001</v>
      </c>
      <c r="L22" s="23">
        <v>1.1000000000000001</v>
      </c>
      <c r="M22" s="23">
        <v>1.2</v>
      </c>
      <c r="N22" s="23">
        <v>1.3</v>
      </c>
      <c r="O22">
        <f t="shared" si="2"/>
        <v>1.3877096370967743</v>
      </c>
      <c r="P22">
        <f t="shared" si="2"/>
        <v>1.4813291161290321</v>
      </c>
      <c r="Q22">
        <f t="shared" si="2"/>
        <v>1.5812561099241429</v>
      </c>
      <c r="R22">
        <f t="shared" si="2"/>
        <v>1.6879150147298581</v>
      </c>
      <c r="S22">
        <f t="shared" si="2"/>
        <v>1.801758743569901</v>
      </c>
      <c r="T22">
        <f t="shared" si="2"/>
        <v>1.8737250261101592</v>
      </c>
      <c r="U22">
        <f t="shared" si="2"/>
        <v>1.9485554896552939</v>
      </c>
      <c r="V22">
        <f t="shared" si="2"/>
        <v>2.026363710329286</v>
      </c>
      <c r="W22">
        <f t="shared" si="2"/>
        <v>2.1072677511642519</v>
      </c>
      <c r="X22">
        <f t="shared" si="2"/>
        <v>2.1913903386716131</v>
      </c>
      <c r="Y22">
        <f t="shared" si="2"/>
        <v>2.2550530374848168</v>
      </c>
      <c r="Z22">
        <f t="shared" si="2"/>
        <v>2.3050504509040479</v>
      </c>
      <c r="AA22">
        <f t="shared" si="2"/>
        <v>2.344133616646777</v>
      </c>
      <c r="AB22">
        <f t="shared" si="2"/>
        <v>2.3744997687592453</v>
      </c>
      <c r="AC22">
        <f t="shared" si="2"/>
        <v>2.397903817576259</v>
      </c>
      <c r="AD22">
        <f t="shared" si="2"/>
        <v>2.4157473898439097</v>
      </c>
      <c r="AE22">
        <f t="shared" si="3"/>
        <v>2.4291499457416723</v>
      </c>
      <c r="AF22">
        <f t="shared" si="3"/>
        <v>2.4390055804392059</v>
      </c>
      <c r="AG22">
        <f t="shared" si="3"/>
        <v>2.4460283916931016</v>
      </c>
      <c r="AH22">
        <f t="shared" si="3"/>
        <v>2.4507887150053227</v>
      </c>
      <c r="AI22">
        <f t="shared" si="3"/>
        <v>2.4537420646147936</v>
      </c>
      <c r="AJ22">
        <f t="shared" si="3"/>
        <v>2.4552522485825348</v>
      </c>
      <c r="AK22">
        <f t="shared" si="3"/>
        <v>2.4556098306932701</v>
      </c>
      <c r="AL22">
        <f t="shared" si="3"/>
        <v>2.4550468758435011</v>
      </c>
      <c r="AM22">
        <f t="shared" si="3"/>
        <v>2.4537487270454101</v>
      </c>
    </row>
    <row r="23" spans="1:39" x14ac:dyDescent="0.2">
      <c r="A23" s="5" t="s">
        <v>27</v>
      </c>
      <c r="B23" s="2" t="s">
        <v>34</v>
      </c>
      <c r="C23" s="21">
        <v>0.6</v>
      </c>
      <c r="D23" s="21">
        <v>0.7</v>
      </c>
      <c r="E23" s="21">
        <v>0.7</v>
      </c>
      <c r="F23" s="21">
        <v>0.8</v>
      </c>
      <c r="G23" s="21">
        <v>0.8</v>
      </c>
      <c r="H23" s="21">
        <v>0.9</v>
      </c>
      <c r="I23" s="21">
        <v>0.9</v>
      </c>
      <c r="J23" s="21">
        <v>1</v>
      </c>
      <c r="K23" s="21">
        <v>1.1000000000000001</v>
      </c>
      <c r="L23" s="21">
        <v>1.1000000000000001</v>
      </c>
      <c r="M23" s="21">
        <v>1.2</v>
      </c>
      <c r="N23" s="21">
        <v>1.2</v>
      </c>
      <c r="O23">
        <f t="shared" si="2"/>
        <v>1.2809627419354839</v>
      </c>
      <c r="P23">
        <f t="shared" si="2"/>
        <v>1.3673807225806449</v>
      </c>
      <c r="Q23">
        <f t="shared" si="2"/>
        <v>1.4596210245453625</v>
      </c>
      <c r="R23">
        <f t="shared" si="2"/>
        <v>1.5580753982121767</v>
      </c>
      <c r="S23">
        <f t="shared" si="2"/>
        <v>1.6631619171414469</v>
      </c>
      <c r="T23">
        <f t="shared" si="2"/>
        <v>1.729592331793993</v>
      </c>
      <c r="U23">
        <f t="shared" si="2"/>
        <v>1.7986666058356557</v>
      </c>
      <c r="V23">
        <f t="shared" si="2"/>
        <v>1.8704895787654947</v>
      </c>
      <c r="W23">
        <f t="shared" si="2"/>
        <v>1.9451702318439246</v>
      </c>
      <c r="X23">
        <f t="shared" si="2"/>
        <v>2.0228218510814893</v>
      </c>
      <c r="Y23">
        <f t="shared" si="2"/>
        <v>2.0815874192167541</v>
      </c>
      <c r="Z23">
        <f t="shared" si="2"/>
        <v>2.1277388777575825</v>
      </c>
      <c r="AA23">
        <f t="shared" si="2"/>
        <v>2.163815646135486</v>
      </c>
      <c r="AB23">
        <f t="shared" si="2"/>
        <v>2.1918459403931498</v>
      </c>
      <c r="AC23">
        <f t="shared" si="2"/>
        <v>2.2134496777627004</v>
      </c>
      <c r="AD23">
        <f t="shared" si="2"/>
        <v>2.2299206675482242</v>
      </c>
      <c r="AE23">
        <f t="shared" si="3"/>
        <v>2.2422922576076973</v>
      </c>
      <c r="AF23">
        <f t="shared" si="3"/>
        <v>2.2513897665592668</v>
      </c>
      <c r="AG23">
        <f t="shared" si="3"/>
        <v>2.2578723615628631</v>
      </c>
      <c r="AH23">
        <f t="shared" si="3"/>
        <v>2.2622665061587592</v>
      </c>
      <c r="AI23">
        <f t="shared" si="3"/>
        <v>2.2649926750290397</v>
      </c>
      <c r="AJ23">
        <f t="shared" si="3"/>
        <v>2.2663866909992629</v>
      </c>
      <c r="AK23">
        <f t="shared" si="3"/>
        <v>2.2667167667937873</v>
      </c>
      <c r="AL23">
        <f t="shared" si="3"/>
        <v>2.2661971161632319</v>
      </c>
      <c r="AM23">
        <f t="shared" si="3"/>
        <v>2.2649988249649939</v>
      </c>
    </row>
    <row r="24" spans="1:39" x14ac:dyDescent="0.2">
      <c r="A24" s="2" t="s">
        <v>28</v>
      </c>
      <c r="B24" s="2" t="s">
        <v>34</v>
      </c>
      <c r="C24" s="23">
        <v>0.5</v>
      </c>
      <c r="D24" s="23">
        <v>0.6</v>
      </c>
      <c r="E24" s="23">
        <v>0.6</v>
      </c>
      <c r="F24" s="23">
        <v>0.7</v>
      </c>
      <c r="G24" s="23">
        <v>0.7</v>
      </c>
      <c r="H24" s="23">
        <v>0.8</v>
      </c>
      <c r="I24" s="23">
        <v>0.9</v>
      </c>
      <c r="J24" s="23">
        <v>0.9</v>
      </c>
      <c r="K24" s="23">
        <v>1</v>
      </c>
      <c r="L24" s="23">
        <v>1.1000000000000001</v>
      </c>
      <c r="M24" s="23">
        <v>1.1000000000000001</v>
      </c>
      <c r="N24" s="23">
        <v>1.2</v>
      </c>
      <c r="O24">
        <f t="shared" si="2"/>
        <v>1.2809627419354839</v>
      </c>
      <c r="P24">
        <f t="shared" si="2"/>
        <v>1.3673807225806449</v>
      </c>
      <c r="Q24">
        <f t="shared" si="2"/>
        <v>1.4596210245453625</v>
      </c>
      <c r="R24">
        <f t="shared" si="2"/>
        <v>1.5580753982121767</v>
      </c>
      <c r="S24">
        <f t="shared" si="2"/>
        <v>1.6631619171414469</v>
      </c>
      <c r="T24">
        <f t="shared" si="2"/>
        <v>1.729592331793993</v>
      </c>
      <c r="U24">
        <f t="shared" si="2"/>
        <v>1.7986666058356557</v>
      </c>
      <c r="V24">
        <f t="shared" si="2"/>
        <v>1.8704895787654947</v>
      </c>
      <c r="W24">
        <f t="shared" si="2"/>
        <v>1.9451702318439246</v>
      </c>
      <c r="X24">
        <f t="shared" si="2"/>
        <v>2.0228218510814893</v>
      </c>
      <c r="Y24">
        <f t="shared" si="2"/>
        <v>2.0815874192167541</v>
      </c>
      <c r="Z24">
        <f t="shared" si="2"/>
        <v>2.1277388777575825</v>
      </c>
      <c r="AA24">
        <f t="shared" si="2"/>
        <v>2.163815646135486</v>
      </c>
      <c r="AB24">
        <f t="shared" si="2"/>
        <v>2.1918459403931498</v>
      </c>
      <c r="AC24">
        <f t="shared" si="2"/>
        <v>2.2134496777627004</v>
      </c>
      <c r="AD24">
        <f t="shared" si="2"/>
        <v>2.2299206675482242</v>
      </c>
      <c r="AE24">
        <f t="shared" si="3"/>
        <v>2.2422922576076973</v>
      </c>
      <c r="AF24">
        <f t="shared" si="3"/>
        <v>2.2513897665592668</v>
      </c>
      <c r="AG24">
        <f t="shared" si="3"/>
        <v>2.2578723615628631</v>
      </c>
      <c r="AH24">
        <f t="shared" si="3"/>
        <v>2.2622665061587592</v>
      </c>
      <c r="AI24">
        <f t="shared" si="3"/>
        <v>2.2649926750290397</v>
      </c>
      <c r="AJ24">
        <f t="shared" si="3"/>
        <v>2.2663866909992629</v>
      </c>
      <c r="AK24">
        <f t="shared" si="3"/>
        <v>2.2667167667937873</v>
      </c>
      <c r="AL24">
        <f t="shared" si="3"/>
        <v>2.2661971161632319</v>
      </c>
      <c r="AM24">
        <f t="shared" si="3"/>
        <v>2.2649988249649939</v>
      </c>
    </row>
    <row r="25" spans="1:39" x14ac:dyDescent="0.2">
      <c r="A25" s="5" t="s">
        <v>29</v>
      </c>
      <c r="B25" s="2" t="s">
        <v>34</v>
      </c>
      <c r="C25" s="21">
        <v>0.4</v>
      </c>
      <c r="D25" s="21">
        <v>0.5</v>
      </c>
      <c r="E25" s="21">
        <v>0.5</v>
      </c>
      <c r="F25" s="21">
        <v>0.5</v>
      </c>
      <c r="G25" s="21">
        <v>0.6</v>
      </c>
      <c r="H25" s="21">
        <v>0.6</v>
      </c>
      <c r="I25" s="21">
        <v>0.7</v>
      </c>
      <c r="J25" s="21">
        <v>0.7</v>
      </c>
      <c r="K25" s="21">
        <v>0.8</v>
      </c>
      <c r="L25" s="21">
        <v>0.8</v>
      </c>
      <c r="M25" s="21">
        <v>0.9</v>
      </c>
      <c r="N25" s="21">
        <v>0.9</v>
      </c>
      <c r="O25">
        <f t="shared" si="2"/>
        <v>0.96072205645161302</v>
      </c>
      <c r="P25">
        <f t="shared" si="2"/>
        <v>1.0255355419354837</v>
      </c>
      <c r="Q25">
        <f t="shared" si="2"/>
        <v>1.0947157684090221</v>
      </c>
      <c r="R25">
        <f t="shared" si="2"/>
        <v>1.1685565486591325</v>
      </c>
      <c r="S25">
        <f t="shared" si="2"/>
        <v>1.2473714378560854</v>
      </c>
      <c r="T25">
        <f t="shared" si="2"/>
        <v>1.2971942488454948</v>
      </c>
      <c r="U25">
        <f t="shared" si="2"/>
        <v>1.3489999543767419</v>
      </c>
      <c r="V25">
        <f t="shared" si="2"/>
        <v>1.4028671840741209</v>
      </c>
      <c r="W25">
        <f t="shared" si="2"/>
        <v>1.4588776738829434</v>
      </c>
      <c r="X25">
        <f t="shared" si="2"/>
        <v>1.5171163883111169</v>
      </c>
      <c r="Y25">
        <f t="shared" si="2"/>
        <v>1.5611905644125657</v>
      </c>
      <c r="Z25">
        <f t="shared" si="2"/>
        <v>1.5958041583181872</v>
      </c>
      <c r="AA25">
        <f t="shared" si="2"/>
        <v>1.6228617346016145</v>
      </c>
      <c r="AB25">
        <f t="shared" si="2"/>
        <v>1.6438844552948624</v>
      </c>
      <c r="AC25">
        <f t="shared" si="2"/>
        <v>1.6600872583220254</v>
      </c>
      <c r="AD25">
        <f t="shared" si="2"/>
        <v>1.6724405006611684</v>
      </c>
      <c r="AE25">
        <f t="shared" si="3"/>
        <v>1.6817191932057731</v>
      </c>
      <c r="AF25">
        <f t="shared" si="3"/>
        <v>1.6885423249194502</v>
      </c>
      <c r="AG25">
        <f t="shared" si="3"/>
        <v>1.6934042711721473</v>
      </c>
      <c r="AH25">
        <f t="shared" si="3"/>
        <v>1.6966998796190698</v>
      </c>
      <c r="AI25">
        <f t="shared" si="3"/>
        <v>1.6987445062717801</v>
      </c>
      <c r="AJ25">
        <f t="shared" si="3"/>
        <v>1.6997900182494472</v>
      </c>
      <c r="AK25">
        <f t="shared" si="3"/>
        <v>1.7000375750953407</v>
      </c>
      <c r="AL25">
        <f t="shared" si="3"/>
        <v>1.6996478371224237</v>
      </c>
      <c r="AM25">
        <f t="shared" si="3"/>
        <v>1.6987491187237458</v>
      </c>
    </row>
    <row r="26" spans="1:39" x14ac:dyDescent="0.2">
      <c r="A26" s="2" t="s">
        <v>30</v>
      </c>
      <c r="B26" s="2" t="s">
        <v>34</v>
      </c>
      <c r="C26" s="23">
        <v>0.3</v>
      </c>
      <c r="D26" s="23">
        <v>0.4</v>
      </c>
      <c r="E26" s="23">
        <v>0.4</v>
      </c>
      <c r="F26" s="23">
        <v>0.5</v>
      </c>
      <c r="G26" s="23">
        <v>0.5</v>
      </c>
      <c r="H26" s="23">
        <v>0.5</v>
      </c>
      <c r="I26" s="23">
        <v>0.6</v>
      </c>
      <c r="J26" s="23">
        <v>0.6</v>
      </c>
      <c r="K26" s="23">
        <v>0.7</v>
      </c>
      <c r="L26" s="23">
        <v>0.7</v>
      </c>
      <c r="M26" s="23">
        <v>0.8</v>
      </c>
      <c r="N26" s="23">
        <v>0.8</v>
      </c>
      <c r="O26">
        <f>$N26*O$2/$N$2</f>
        <v>0.85397516129032269</v>
      </c>
      <c r="P26">
        <f>$N26*P$2/$N$2</f>
        <v>0.91158714838709676</v>
      </c>
      <c r="Q26">
        <f t="shared" ref="Q26:AM27" si="4">$N26*Q$2/$N$2</f>
        <v>0.97308068303024176</v>
      </c>
      <c r="R26">
        <f t="shared" si="4"/>
        <v>1.0387169321414511</v>
      </c>
      <c r="S26">
        <f t="shared" si="4"/>
        <v>1.1087746114276316</v>
      </c>
      <c r="T26">
        <f t="shared" si="4"/>
        <v>1.1530615545293288</v>
      </c>
      <c r="U26">
        <f t="shared" si="4"/>
        <v>1.199111070557104</v>
      </c>
      <c r="V26">
        <f t="shared" si="4"/>
        <v>1.2469930525103299</v>
      </c>
      <c r="W26">
        <f t="shared" si="4"/>
        <v>1.2967801545626165</v>
      </c>
      <c r="X26">
        <f t="shared" si="4"/>
        <v>1.3485479007209928</v>
      </c>
      <c r="Y26">
        <f t="shared" si="4"/>
        <v>1.3877249461445027</v>
      </c>
      <c r="Z26">
        <f t="shared" si="4"/>
        <v>1.4184925851717218</v>
      </c>
      <c r="AA26">
        <f t="shared" si="4"/>
        <v>1.442543764090324</v>
      </c>
      <c r="AB26">
        <f t="shared" si="4"/>
        <v>1.4612306269287665</v>
      </c>
      <c r="AC26">
        <f t="shared" si="4"/>
        <v>1.475633118508467</v>
      </c>
      <c r="AD26">
        <f t="shared" si="4"/>
        <v>1.4866137783654829</v>
      </c>
      <c r="AE26">
        <f t="shared" si="4"/>
        <v>1.4948615050717984</v>
      </c>
      <c r="AF26">
        <f t="shared" si="4"/>
        <v>1.5009265110395114</v>
      </c>
      <c r="AG26">
        <f t="shared" si="4"/>
        <v>1.5052482410419086</v>
      </c>
      <c r="AH26">
        <f t="shared" si="4"/>
        <v>1.5081776707725063</v>
      </c>
      <c r="AI26">
        <f t="shared" si="4"/>
        <v>1.5099951166860268</v>
      </c>
      <c r="AJ26">
        <f t="shared" si="4"/>
        <v>1.5109244606661754</v>
      </c>
      <c r="AK26">
        <f t="shared" si="4"/>
        <v>1.5111445111958584</v>
      </c>
      <c r="AL26">
        <f t="shared" si="4"/>
        <v>1.5107980774421543</v>
      </c>
      <c r="AM26">
        <f t="shared" si="4"/>
        <v>1.5099992166433296</v>
      </c>
    </row>
    <row r="27" spans="1:39" s="12" customFormat="1" x14ac:dyDescent="0.2">
      <c r="A27" s="11" t="s">
        <v>33</v>
      </c>
      <c r="B27" s="2" t="s">
        <v>34</v>
      </c>
      <c r="C27" s="20">
        <v>9.9999999999999992E-2</v>
      </c>
      <c r="D27" s="20">
        <v>0.11363636363636362</v>
      </c>
      <c r="E27" s="20">
        <v>0.12727272727272726</v>
      </c>
      <c r="F27" s="20">
        <v>0.1409090909090909</v>
      </c>
      <c r="G27" s="20">
        <v>0.15454545454545454</v>
      </c>
      <c r="H27" s="20">
        <v>0.16818181818181815</v>
      </c>
      <c r="I27" s="20">
        <v>0.1818181818181818</v>
      </c>
      <c r="J27" s="20">
        <v>0.19545454545454544</v>
      </c>
      <c r="K27" s="20">
        <v>0.20909090909090908</v>
      </c>
      <c r="L27" s="20">
        <v>0.22272727272727272</v>
      </c>
      <c r="M27" s="20">
        <v>0.23636363636363633</v>
      </c>
      <c r="N27" s="20">
        <v>0.25</v>
      </c>
      <c r="O27">
        <f>$N27*O$2/$N$2</f>
        <v>0.26686723790322581</v>
      </c>
      <c r="P27">
        <f>$N27*P$2/$N$2</f>
        <v>0.28487098387096771</v>
      </c>
      <c r="Q27">
        <f t="shared" si="4"/>
        <v>0.30408771344695057</v>
      </c>
      <c r="R27">
        <f t="shared" si="4"/>
        <v>0.32459904129420347</v>
      </c>
      <c r="S27">
        <f t="shared" si="4"/>
        <v>0.34649206607113481</v>
      </c>
      <c r="T27">
        <f t="shared" si="4"/>
        <v>0.36033173579041522</v>
      </c>
      <c r="U27">
        <f t="shared" si="4"/>
        <v>0.37472220954909496</v>
      </c>
      <c r="V27">
        <f t="shared" si="4"/>
        <v>0.38968532890947805</v>
      </c>
      <c r="W27">
        <f t="shared" si="4"/>
        <v>0.40524379830081764</v>
      </c>
      <c r="X27">
        <f t="shared" si="4"/>
        <v>0.42142121897531026</v>
      </c>
      <c r="Y27">
        <f t="shared" si="4"/>
        <v>0.43366404567015709</v>
      </c>
      <c r="Z27">
        <f t="shared" si="4"/>
        <v>0.44327893286616304</v>
      </c>
      <c r="AA27">
        <f t="shared" si="4"/>
        <v>0.45079492627822626</v>
      </c>
      <c r="AB27">
        <f t="shared" si="4"/>
        <v>0.45663457091523951</v>
      </c>
      <c r="AC27">
        <f t="shared" si="4"/>
        <v>0.4611353495338959</v>
      </c>
      <c r="AD27">
        <f t="shared" si="4"/>
        <v>0.46456680573921338</v>
      </c>
      <c r="AE27">
        <f t="shared" si="4"/>
        <v>0.46714422033493697</v>
      </c>
      <c r="AF27">
        <f t="shared" si="4"/>
        <v>0.46903953469984727</v>
      </c>
      <c r="AG27">
        <f t="shared" si="4"/>
        <v>0.47039007532559646</v>
      </c>
      <c r="AH27">
        <f t="shared" si="4"/>
        <v>0.47130552211640819</v>
      </c>
      <c r="AI27">
        <f t="shared" si="4"/>
        <v>0.47187347396438334</v>
      </c>
      <c r="AJ27">
        <f t="shared" si="4"/>
        <v>0.47216389395817976</v>
      </c>
      <c r="AK27">
        <f t="shared" si="4"/>
        <v>0.47223265974870571</v>
      </c>
      <c r="AL27">
        <f t="shared" si="4"/>
        <v>0.47212439920067328</v>
      </c>
      <c r="AM27">
        <f t="shared" si="4"/>
        <v>0.47187475520104044</v>
      </c>
    </row>
    <row r="28" spans="1:39" s="19" customFormat="1" x14ac:dyDescent="0.2">
      <c r="A28" s="18" t="s">
        <v>4</v>
      </c>
      <c r="B28" s="18" t="s">
        <v>35</v>
      </c>
      <c r="C28" s="22">
        <f>'input_EnBW Model 2026'!C3</f>
        <v>20.028513599999997</v>
      </c>
      <c r="D28" s="22">
        <f>'input_EnBW Model 2026'!D3</f>
        <v>21.049012928571429</v>
      </c>
      <c r="E28" s="22">
        <f>'input_EnBW Model 2026'!E3</f>
        <v>22.108104577928568</v>
      </c>
      <c r="F28" s="22">
        <f>'input_EnBW Model 2026'!F3</f>
        <v>23.205700423253568</v>
      </c>
      <c r="G28" s="22">
        <f>'input_EnBW Model 2026'!G3</f>
        <v>24.34147178938553</v>
      </c>
      <c r="H28" s="22">
        <f>'input_EnBW Model 2026'!H3</f>
        <v>25.514813095234981</v>
      </c>
      <c r="I28" s="22">
        <f>'input_EnBW Model 2026'!I3</f>
        <v>26.724801340300925</v>
      </c>
      <c r="J28" s="22">
        <f>'input_EnBW Model 2026'!J3</f>
        <v>28.104955948518043</v>
      </c>
      <c r="K28" s="22">
        <f>'input_EnBW Model 2026'!K3</f>
        <v>29.555620721582496</v>
      </c>
      <c r="L28" s="22">
        <f>'input_EnBW Model 2026'!L3</f>
        <v>31.080351272447519</v>
      </c>
      <c r="M28" s="22">
        <f>'input_EnBW Model 2026'!M3</f>
        <v>32.682879633680592</v>
      </c>
      <c r="N28" s="22">
        <f>'input_EnBW Model 2026'!N3</f>
        <v>34.367122830640874</v>
      </c>
      <c r="O28" s="19">
        <f>'input_EnBW Model 2026'!O3</f>
        <v>36.256260037250364</v>
      </c>
      <c r="P28" s="19">
        <f>'input_EnBW Model 2026'!P3</f>
        <v>38.249039508337866</v>
      </c>
      <c r="Q28" s="19">
        <f>'input_EnBW Model 2026'!Q3</f>
        <v>40.351136127453202</v>
      </c>
      <c r="R28" s="19">
        <f>'input_EnBW Model 2026'!R3</f>
        <v>42.568534885584562</v>
      </c>
      <c r="S28" s="19">
        <f>'input_EnBW Model 2026'!S3</f>
        <v>44.907547792799321</v>
      </c>
      <c r="T28" s="19">
        <f>'input_EnBW Model 2026'!T3</f>
        <v>46.701255903932662</v>
      </c>
      <c r="U28" s="19">
        <f>'input_EnBW Model 2026'!U3</f>
        <v>48.566351677716604</v>
      </c>
      <c r="V28" s="19">
        <f>'input_EnBW Model 2026'!V3</f>
        <v>50.505665917794488</v>
      </c>
      <c r="W28" s="19">
        <f>'input_EnBW Model 2026'!W3</f>
        <v>52.522141260785304</v>
      </c>
      <c r="X28" s="19">
        <f>'input_EnBW Model 2026'!X3</f>
        <v>54.61883657719364</v>
      </c>
      <c r="Y28" s="19">
        <f>'input_EnBW Model 2026'!Y3</f>
        <v>56.310444967723853</v>
      </c>
      <c r="Z28" s="19">
        <f>'input_EnBW Model 2026'!Z3</f>
        <v>57.729151741779084</v>
      </c>
      <c r="AA28" s="19">
        <f>'input_EnBW Model 2026'!AA3</f>
        <v>58.916271585190508</v>
      </c>
      <c r="AB28" s="19">
        <f>'input_EnBW Model 2026'!AB3</f>
        <v>59.906865064410546</v>
      </c>
      <c r="AC28" s="19">
        <f>'input_EnBW Model 2026'!AC3</f>
        <v>60.730685281895425</v>
      </c>
      <c r="AD28" s="19">
        <f>'input_EnBW Model 2026'!AD3</f>
        <v>61.412981252558808</v>
      </c>
      <c r="AE28" s="19">
        <f>'input_EnBW Model 2026'!AE3</f>
        <v>61.975179685229293</v>
      </c>
      <c r="AF28" s="19">
        <f>'input_EnBW Model 2026'!AF3</f>
        <v>62.435463571640383</v>
      </c>
      <c r="AG28" s="19">
        <f>'input_EnBW Model 2026'!AG3</f>
        <v>62.809263200610367</v>
      </c>
      <c r="AH28" s="19">
        <f>'input_EnBW Model 2026'!AH3</f>
        <v>63.109672851602895</v>
      </c>
      <c r="AI28" s="19">
        <f>'input_EnBW Model 2026'!AI3</f>
        <v>63.347804416034926</v>
      </c>
      <c r="AJ28" s="19">
        <f>'input_EnBW Model 2026'!AJ3</f>
        <v>63.533087492402863</v>
      </c>
      <c r="AK28" s="19">
        <f>'input_EnBW Model 2026'!AK3</f>
        <v>63.673524056601764</v>
      </c>
      <c r="AL28" s="19">
        <f>'input_EnBW Model 2026'!AL3</f>
        <v>63.775904582739606</v>
      </c>
      <c r="AM28" s="19">
        <f>'input_EnBW Model 2026'!AM3</f>
        <v>63.845991449215809</v>
      </c>
    </row>
    <row r="29" spans="1:39" x14ac:dyDescent="0.2">
      <c r="A29" s="5" t="s">
        <v>5</v>
      </c>
      <c r="B29" s="2" t="s">
        <v>35</v>
      </c>
      <c r="C29" s="21">
        <v>11</v>
      </c>
      <c r="D29" s="21">
        <v>12.2</v>
      </c>
      <c r="E29" s="21">
        <f>E3*E$28/E$2</f>
        <v>12.689164246326268</v>
      </c>
      <c r="F29" s="21">
        <f t="shared" ref="F29:N29" si="5">F3*F$28/F$2</f>
        <v>13.545956152245754</v>
      </c>
      <c r="G29" s="21">
        <f t="shared" si="5"/>
        <v>14.43717819810059</v>
      </c>
      <c r="H29" s="21">
        <f t="shared" si="5"/>
        <v>15.27068785442254</v>
      </c>
      <c r="I29" s="21">
        <f t="shared" si="5"/>
        <v>16.133859195209062</v>
      </c>
      <c r="J29" s="21">
        <f t="shared" si="5"/>
        <v>17.203749032140223</v>
      </c>
      <c r="K29" s="21">
        <f t="shared" si="5"/>
        <v>18.329308759187313</v>
      </c>
      <c r="L29" s="21">
        <f t="shared" si="5"/>
        <v>19.426149885461651</v>
      </c>
      <c r="M29" s="21">
        <f t="shared" si="5"/>
        <v>20.413783569200628</v>
      </c>
      <c r="N29" s="21">
        <f t="shared" si="5"/>
        <v>21.455682563309125</v>
      </c>
      <c r="O29">
        <f>$N29*O$28/$N$28</f>
        <v>22.635086740472648</v>
      </c>
      <c r="P29">
        <f t="shared" ref="P29:AM39" si="6">$N29*P$28/$N$28</f>
        <v>23.879195651219518</v>
      </c>
      <c r="Q29">
        <f t="shared" si="6"/>
        <v>25.191552172869688</v>
      </c>
      <c r="R29">
        <f t="shared" si="6"/>
        <v>26.575892785413632</v>
      </c>
      <c r="S29">
        <f t="shared" si="6"/>
        <v>28.036158129591321</v>
      </c>
      <c r="T29">
        <f t="shared" si="6"/>
        <v>29.155985123354011</v>
      </c>
      <c r="U29">
        <f t="shared" si="6"/>
        <v>30.320380032688686</v>
      </c>
      <c r="V29">
        <f t="shared" si="6"/>
        <v>31.53111015201419</v>
      </c>
      <c r="W29">
        <f t="shared" si="6"/>
        <v>32.790012594012538</v>
      </c>
      <c r="X29">
        <f t="shared" si="6"/>
        <v>34.098997037153815</v>
      </c>
      <c r="Y29">
        <f t="shared" si="6"/>
        <v>35.155082320391053</v>
      </c>
      <c r="Z29">
        <f t="shared" si="6"/>
        <v>36.0407928392654</v>
      </c>
      <c r="AA29">
        <f t="shared" si="6"/>
        <v>36.781921698098238</v>
      </c>
      <c r="AB29">
        <f t="shared" si="6"/>
        <v>37.400357502112641</v>
      </c>
      <c r="AC29">
        <f t="shared" si="6"/>
        <v>37.914675362315727</v>
      </c>
      <c r="AD29">
        <f t="shared" si="6"/>
        <v>38.340638450145889</v>
      </c>
      <c r="AE29">
        <f t="shared" si="6"/>
        <v>38.691623639345771</v>
      </c>
      <c r="AF29">
        <f t="shared" si="6"/>
        <v>38.978982723913582</v>
      </c>
      <c r="AG29">
        <f t="shared" si="6"/>
        <v>39.21234896236728</v>
      </c>
      <c r="AH29">
        <f t="shared" si="6"/>
        <v>39.399897223023636</v>
      </c>
      <c r="AI29">
        <f t="shared" si="6"/>
        <v>39.548564752741967</v>
      </c>
      <c r="AJ29">
        <f t="shared" si="6"/>
        <v>39.664238528824249</v>
      </c>
      <c r="AK29">
        <f t="shared" si="6"/>
        <v>39.751914251827948</v>
      </c>
      <c r="AL29">
        <f t="shared" si="6"/>
        <v>39.815831271600103</v>
      </c>
      <c r="AM29">
        <f t="shared" si="6"/>
        <v>39.859587089227922</v>
      </c>
    </row>
    <row r="30" spans="1:39" x14ac:dyDescent="0.2">
      <c r="A30" s="5" t="s">
        <v>7</v>
      </c>
      <c r="B30" s="2" t="s">
        <v>35</v>
      </c>
      <c r="C30" s="21">
        <v>3.9</v>
      </c>
      <c r="D30" s="21">
        <v>4.9000000000000004</v>
      </c>
      <c r="E30" s="21">
        <f>E4*E$28/E$2</f>
        <v>5.6817153341759399</v>
      </c>
      <c r="F30" s="21">
        <f t="shared" ref="F30:N30" si="7">F4*F$28/F$2</f>
        <v>6.5426046721731188</v>
      </c>
      <c r="G30" s="21">
        <f t="shared" si="7"/>
        <v>7.3530969704611682</v>
      </c>
      <c r="H30" s="21">
        <f t="shared" si="7"/>
        <v>8.2025409046612516</v>
      </c>
      <c r="I30" s="21">
        <f t="shared" si="7"/>
        <v>9.0009951299587385</v>
      </c>
      <c r="J30" s="21">
        <f t="shared" si="7"/>
        <v>9.9865665113399338</v>
      </c>
      <c r="K30" s="21">
        <f t="shared" si="7"/>
        <v>10.86488437761782</v>
      </c>
      <c r="L30" s="21">
        <f t="shared" si="7"/>
        <v>11.721263433000068</v>
      </c>
      <c r="M30" s="21">
        <f t="shared" si="7"/>
        <v>12.556097036611499</v>
      </c>
      <c r="N30" s="21">
        <f t="shared" si="7"/>
        <v>13.369772343554565</v>
      </c>
      <c r="O30">
        <f t="shared" ref="O30:AD53" si="8">$N30*O$28/$N$28</f>
        <v>14.104699573354223</v>
      </c>
      <c r="P30">
        <f t="shared" si="6"/>
        <v>14.879946543856937</v>
      </c>
      <c r="Q30">
        <f t="shared" si="6"/>
        <v>15.697720943541929</v>
      </c>
      <c r="R30">
        <f t="shared" si="6"/>
        <v>16.560351101358492</v>
      </c>
      <c r="S30">
        <f t="shared" si="6"/>
        <v>17.470292565827425</v>
      </c>
      <c r="T30">
        <f t="shared" si="6"/>
        <v>18.168095207463132</v>
      </c>
      <c r="U30">
        <f t="shared" si="6"/>
        <v>18.893669647235111</v>
      </c>
      <c r="V30">
        <f t="shared" si="6"/>
        <v>19.648117146964065</v>
      </c>
      <c r="W30">
        <f t="shared" si="6"/>
        <v>20.43258247462721</v>
      </c>
      <c r="X30">
        <f t="shared" si="6"/>
        <v>21.248255616435397</v>
      </c>
      <c r="Y30">
        <f t="shared" si="6"/>
        <v>21.906338610094423</v>
      </c>
      <c r="Z30">
        <f t="shared" si="6"/>
        <v>22.45825523939299</v>
      </c>
      <c r="AA30">
        <f t="shared" si="6"/>
        <v>22.920078073068673</v>
      </c>
      <c r="AB30">
        <f t="shared" si="6"/>
        <v>23.305446652435858</v>
      </c>
      <c r="AC30">
        <f t="shared" si="6"/>
        <v>23.625935766816141</v>
      </c>
      <c r="AD30">
        <f t="shared" si="6"/>
        <v>23.89136798945658</v>
      </c>
      <c r="AE30">
        <f t="shared" si="6"/>
        <v>24.110078909592321</v>
      </c>
      <c r="AF30">
        <f t="shared" si="6"/>
        <v>24.289142219752119</v>
      </c>
      <c r="AG30">
        <f t="shared" si="6"/>
        <v>24.43456073401244</v>
      </c>
      <c r="AH30">
        <f t="shared" si="6"/>
        <v>24.551428493451294</v>
      </c>
      <c r="AI30">
        <f t="shared" si="6"/>
        <v>24.644068334730999</v>
      </c>
      <c r="AJ30">
        <f t="shared" si="6"/>
        <v>24.716148635498691</v>
      </c>
      <c r="AK30">
        <f t="shared" si="6"/>
        <v>24.770782388265921</v>
      </c>
      <c r="AL30">
        <f t="shared" si="6"/>
        <v>24.810611277452299</v>
      </c>
      <c r="AM30">
        <f t="shared" si="6"/>
        <v>24.837877029481575</v>
      </c>
    </row>
    <row r="31" spans="1:39" x14ac:dyDescent="0.2">
      <c r="A31" s="2" t="s">
        <v>8</v>
      </c>
      <c r="B31" s="2" t="s">
        <v>35</v>
      </c>
      <c r="C31" s="23">
        <v>2.9</v>
      </c>
      <c r="D31" s="23">
        <v>3.8</v>
      </c>
      <c r="E31" s="21">
        <f t="shared" ref="E31:N53" si="9">E5*E$28/E$2</f>
        <v>4.5453722673407517</v>
      </c>
      <c r="F31" s="21">
        <f t="shared" si="9"/>
        <v>5.3446629716343788</v>
      </c>
      <c r="G31" s="21">
        <f t="shared" si="9"/>
        <v>6.0976901706263353</v>
      </c>
      <c r="H31" s="21">
        <f t="shared" si="9"/>
        <v>6.893624802853604</v>
      </c>
      <c r="I31" s="21">
        <f t="shared" si="9"/>
        <v>7.7272694040211825</v>
      </c>
      <c r="J31" s="21">
        <f t="shared" si="9"/>
        <v>8.5599141525770861</v>
      </c>
      <c r="K31" s="21">
        <f t="shared" si="9"/>
        <v>9.4549375499880259</v>
      </c>
      <c r="L31" s="21">
        <f t="shared" si="9"/>
        <v>10.327826521384676</v>
      </c>
      <c r="M31" s="21">
        <f t="shared" si="9"/>
        <v>11.097969638811453</v>
      </c>
      <c r="N31" s="21">
        <f t="shared" si="9"/>
        <v>11.928719037063654</v>
      </c>
      <c r="O31">
        <f t="shared" si="8"/>
        <v>12.584432553471732</v>
      </c>
      <c r="P31">
        <f t="shared" si="6"/>
        <v>13.276119970267567</v>
      </c>
      <c r="Q31">
        <f t="shared" si="6"/>
        <v>14.005751021483519</v>
      </c>
      <c r="R31">
        <f t="shared" si="6"/>
        <v>14.775403078457577</v>
      </c>
      <c r="S31">
        <f t="shared" si="6"/>
        <v>15.587267019810097</v>
      </c>
      <c r="T31">
        <f t="shared" si="6"/>
        <v>16.2098574006707</v>
      </c>
      <c r="U31">
        <f t="shared" si="6"/>
        <v>16.857226212203781</v>
      </c>
      <c r="V31">
        <f t="shared" si="6"/>
        <v>17.530356017351174</v>
      </c>
      <c r="W31">
        <f t="shared" si="6"/>
        <v>18.230268195924879</v>
      </c>
      <c r="X31">
        <f t="shared" si="6"/>
        <v>18.958024472148946</v>
      </c>
      <c r="Y31">
        <f t="shared" si="6"/>
        <v>19.545176364695024</v>
      </c>
      <c r="Z31">
        <f t="shared" si="6"/>
        <v>20.037604974069193</v>
      </c>
      <c r="AA31">
        <f t="shared" si="6"/>
        <v>20.449650496330737</v>
      </c>
      <c r="AB31">
        <f t="shared" si="6"/>
        <v>20.793482342592473</v>
      </c>
      <c r="AC31">
        <f t="shared" si="6"/>
        <v>21.079427720093442</v>
      </c>
      <c r="AD31">
        <f t="shared" si="6"/>
        <v>21.316250481610961</v>
      </c>
      <c r="AE31">
        <f t="shared" si="6"/>
        <v>21.511387769636265</v>
      </c>
      <c r="AF31">
        <f t="shared" si="6"/>
        <v>21.671150842772846</v>
      </c>
      <c r="AG31">
        <f t="shared" si="6"/>
        <v>21.800895505196731</v>
      </c>
      <c r="AH31">
        <f t="shared" si="6"/>
        <v>21.905166739666125</v>
      </c>
      <c r="AI31">
        <f t="shared" si="6"/>
        <v>21.987821448352808</v>
      </c>
      <c r="AJ31">
        <f t="shared" si="6"/>
        <v>22.052132614906018</v>
      </c>
      <c r="AK31">
        <f t="shared" si="6"/>
        <v>22.10087769971031</v>
      </c>
      <c r="AL31">
        <f t="shared" si="6"/>
        <v>22.136413654732891</v>
      </c>
      <c r="AM31">
        <f t="shared" si="6"/>
        <v>22.160740583190151</v>
      </c>
    </row>
    <row r="32" spans="1:39" x14ac:dyDescent="0.2">
      <c r="A32" s="5" t="s">
        <v>9</v>
      </c>
      <c r="B32" s="2" t="s">
        <v>35</v>
      </c>
      <c r="C32" s="21">
        <v>6.8</v>
      </c>
      <c r="D32" s="21">
        <v>7.5</v>
      </c>
      <c r="E32" s="21">
        <f t="shared" ref="E32:N32" si="10">E6*E$28/E$2</f>
        <v>7.6703157011375191</v>
      </c>
      <c r="F32" s="21">
        <f t="shared" si="10"/>
        <v>8.1091438190314715</v>
      </c>
      <c r="G32" s="21">
        <f t="shared" si="10"/>
        <v>8.4291599417481695</v>
      </c>
      <c r="H32" s="21">
        <f t="shared" si="10"/>
        <v>8.8133684188381523</v>
      </c>
      <c r="I32" s="21">
        <f t="shared" si="10"/>
        <v>9.0859101783545757</v>
      </c>
      <c r="J32" s="21">
        <f t="shared" si="10"/>
        <v>9.5669628764096863</v>
      </c>
      <c r="K32" s="21">
        <f t="shared" si="10"/>
        <v>9.9525658420926586</v>
      </c>
      <c r="L32" s="21">
        <f t="shared" si="10"/>
        <v>10.327826521384676</v>
      </c>
      <c r="M32" s="21">
        <f t="shared" si="10"/>
        <v>10.611927172878104</v>
      </c>
      <c r="N32" s="21">
        <f t="shared" si="10"/>
        <v>10.887958315709108</v>
      </c>
      <c r="O32">
        <f t="shared" si="8"/>
        <v>11.486461928001045</v>
      </c>
      <c r="P32">
        <f t="shared" si="6"/>
        <v>12.1178007782308</v>
      </c>
      <c r="Q32">
        <f t="shared" si="6"/>
        <v>12.783772744441334</v>
      </c>
      <c r="R32">
        <f t="shared" si="6"/>
        <v>13.486273950806918</v>
      </c>
      <c r="S32">
        <f t="shared" si="6"/>
        <v>14.227304125464251</v>
      </c>
      <c r="T32">
        <f t="shared" si="6"/>
        <v>14.795574540209499</v>
      </c>
      <c r="U32">
        <f t="shared" si="6"/>
        <v>15.386461509125603</v>
      </c>
      <c r="V32">
        <f t="shared" si="6"/>
        <v>16.000861868186306</v>
      </c>
      <c r="W32">
        <f t="shared" si="6"/>
        <v>16.639707883528747</v>
      </c>
      <c r="X32">
        <f t="shared" si="6"/>
        <v>17.303968645719845</v>
      </c>
      <c r="Y32">
        <f t="shared" si="6"/>
        <v>17.839892520795459</v>
      </c>
      <c r="Z32">
        <f t="shared" si="6"/>
        <v>18.289357560224236</v>
      </c>
      <c r="AA32">
        <f t="shared" si="6"/>
        <v>18.665452802020003</v>
      </c>
      <c r="AB32">
        <f t="shared" si="6"/>
        <v>18.979285896594472</v>
      </c>
      <c r="AC32">
        <f t="shared" si="6"/>
        <v>19.240283019682607</v>
      </c>
      <c r="AD32">
        <f t="shared" si="6"/>
        <v>19.456443392611348</v>
      </c>
      <c r="AE32">
        <f t="shared" si="6"/>
        <v>19.634555279668003</v>
      </c>
      <c r="AF32">
        <f t="shared" si="6"/>
        <v>19.780379292732267</v>
      </c>
      <c r="AG32">
        <f t="shared" si="6"/>
        <v>19.898803951052049</v>
      </c>
      <c r="AH32">
        <f t="shared" si="6"/>
        <v>19.993977695265727</v>
      </c>
      <c r="AI32">
        <f t="shared" si="6"/>
        <v>20.069420919301894</v>
      </c>
      <c r="AJ32">
        <f t="shared" si="6"/>
        <v>20.128121044477975</v>
      </c>
      <c r="AK32">
        <f t="shared" si="6"/>
        <v>20.172613202420152</v>
      </c>
      <c r="AL32">
        <f t="shared" si="6"/>
        <v>20.205048704991096</v>
      </c>
      <c r="AM32">
        <f t="shared" si="6"/>
        <v>20.227253149757452</v>
      </c>
    </row>
    <row r="33" spans="1:39" x14ac:dyDescent="0.2">
      <c r="A33" s="2" t="s">
        <v>10</v>
      </c>
      <c r="B33" s="2" t="s">
        <v>35</v>
      </c>
      <c r="C33" s="23">
        <v>8.4</v>
      </c>
      <c r="D33" s="23">
        <v>8.8000000000000007</v>
      </c>
      <c r="E33" s="21">
        <f t="shared" ref="E33:N33" si="11">E7*E$28/E$2</f>
        <v>8.8066587679727082</v>
      </c>
      <c r="F33" s="21">
        <f t="shared" si="11"/>
        <v>8.9384880732505998</v>
      </c>
      <c r="G33" s="21">
        <f t="shared" si="11"/>
        <v>9.1465352559395026</v>
      </c>
      <c r="H33" s="21">
        <f t="shared" si="11"/>
        <v>9.3369348595612109</v>
      </c>
      <c r="I33" s="21">
        <f t="shared" si="11"/>
        <v>9.5104854203337617</v>
      </c>
      <c r="J33" s="21">
        <f t="shared" si="11"/>
        <v>9.8187250573678337</v>
      </c>
      <c r="K33" s="21">
        <f t="shared" si="11"/>
        <v>10.118441939460869</v>
      </c>
      <c r="L33" s="21">
        <f t="shared" si="11"/>
        <v>10.409793398538522</v>
      </c>
      <c r="M33" s="21">
        <f t="shared" si="11"/>
        <v>10.611927172878104</v>
      </c>
      <c r="N33" s="21">
        <f t="shared" si="11"/>
        <v>10.887958315709108</v>
      </c>
      <c r="O33">
        <f t="shared" si="8"/>
        <v>11.486461928001045</v>
      </c>
      <c r="P33">
        <f t="shared" si="6"/>
        <v>12.1178007782308</v>
      </c>
      <c r="Q33">
        <f t="shared" si="6"/>
        <v>12.783772744441334</v>
      </c>
      <c r="R33">
        <f t="shared" si="6"/>
        <v>13.486273950806918</v>
      </c>
      <c r="S33">
        <f t="shared" si="6"/>
        <v>14.227304125464251</v>
      </c>
      <c r="T33">
        <f t="shared" si="6"/>
        <v>14.795574540209499</v>
      </c>
      <c r="U33">
        <f t="shared" si="6"/>
        <v>15.386461509125603</v>
      </c>
      <c r="V33">
        <f t="shared" si="6"/>
        <v>16.000861868186306</v>
      </c>
      <c r="W33">
        <f t="shared" si="6"/>
        <v>16.639707883528747</v>
      </c>
      <c r="X33">
        <f t="shared" si="6"/>
        <v>17.303968645719845</v>
      </c>
      <c r="Y33">
        <f t="shared" si="6"/>
        <v>17.839892520795459</v>
      </c>
      <c r="Z33">
        <f t="shared" si="6"/>
        <v>18.289357560224236</v>
      </c>
      <c r="AA33">
        <f t="shared" si="6"/>
        <v>18.665452802020003</v>
      </c>
      <c r="AB33">
        <f t="shared" si="6"/>
        <v>18.979285896594472</v>
      </c>
      <c r="AC33">
        <f t="shared" si="6"/>
        <v>19.240283019682607</v>
      </c>
      <c r="AD33">
        <f t="shared" si="6"/>
        <v>19.456443392611348</v>
      </c>
      <c r="AE33">
        <f t="shared" si="6"/>
        <v>19.634555279668003</v>
      </c>
      <c r="AF33">
        <f t="shared" si="6"/>
        <v>19.780379292732267</v>
      </c>
      <c r="AG33">
        <f t="shared" si="6"/>
        <v>19.898803951052049</v>
      </c>
      <c r="AH33">
        <f t="shared" si="6"/>
        <v>19.993977695265727</v>
      </c>
      <c r="AI33">
        <f t="shared" si="6"/>
        <v>20.069420919301894</v>
      </c>
      <c r="AJ33">
        <f t="shared" si="6"/>
        <v>20.128121044477975</v>
      </c>
      <c r="AK33">
        <f t="shared" si="6"/>
        <v>20.172613202420152</v>
      </c>
      <c r="AL33">
        <f t="shared" si="6"/>
        <v>20.205048704991096</v>
      </c>
      <c r="AM33">
        <f t="shared" si="6"/>
        <v>20.227253149757452</v>
      </c>
    </row>
    <row r="34" spans="1:39" x14ac:dyDescent="0.2">
      <c r="A34" s="5" t="s">
        <v>11</v>
      </c>
      <c r="B34" s="2" t="s">
        <v>35</v>
      </c>
      <c r="C34" s="21">
        <v>5.3</v>
      </c>
      <c r="D34" s="21">
        <v>5.8</v>
      </c>
      <c r="E34" s="21">
        <f t="shared" ref="E34:N34" si="12">E8*E$28/E$2</f>
        <v>6.0604963564543368</v>
      </c>
      <c r="F34" s="21">
        <f t="shared" si="12"/>
        <v>6.4504553105932159</v>
      </c>
      <c r="G34" s="21">
        <f t="shared" si="12"/>
        <v>6.8150654848176693</v>
      </c>
      <c r="H34" s="21">
        <f t="shared" si="12"/>
        <v>7.2426690966689771</v>
      </c>
      <c r="I34" s="21">
        <f t="shared" si="12"/>
        <v>7.7272694040211825</v>
      </c>
      <c r="J34" s="21">
        <f t="shared" si="12"/>
        <v>8.2242312446328878</v>
      </c>
      <c r="K34" s="21">
        <f t="shared" si="12"/>
        <v>8.791433160515183</v>
      </c>
      <c r="L34" s="21">
        <f t="shared" si="12"/>
        <v>9.2622571183846691</v>
      </c>
      <c r="M34" s="21">
        <f t="shared" si="12"/>
        <v>9.8018563963225258</v>
      </c>
      <c r="N34" s="21">
        <f t="shared" si="12"/>
        <v>10.327548696518198</v>
      </c>
      <c r="O34">
        <f t="shared" si="8"/>
        <v>10.895246975824522</v>
      </c>
      <c r="P34">
        <f t="shared" si="6"/>
        <v>11.494090444057155</v>
      </c>
      <c r="Q34">
        <f t="shared" si="6"/>
        <v>12.125784441418617</v>
      </c>
      <c r="R34">
        <f t="shared" si="6"/>
        <v>12.79212749745656</v>
      </c>
      <c r="S34">
        <f t="shared" si="6"/>
        <v>13.49501641312418</v>
      </c>
      <c r="T34">
        <f t="shared" si="6"/>
        <v>14.034037615345774</v>
      </c>
      <c r="U34">
        <f t="shared" si="6"/>
        <v>14.594511284391196</v>
      </c>
      <c r="V34">
        <f t="shared" si="6"/>
        <v>15.177288095559069</v>
      </c>
      <c r="W34">
        <f t="shared" si="6"/>
        <v>15.783252330700064</v>
      </c>
      <c r="X34">
        <f t="shared" si="6"/>
        <v>16.413323200719557</v>
      </c>
      <c r="Y34">
        <f t="shared" si="6"/>
        <v>16.921662758695696</v>
      </c>
      <c r="Z34">
        <f t="shared" si="6"/>
        <v>17.347993568153868</v>
      </c>
      <c r="AA34">
        <f t="shared" si="6"/>
        <v>17.704730966621913</v>
      </c>
      <c r="AB34">
        <f t="shared" si="6"/>
        <v>18.002410887210932</v>
      </c>
      <c r="AC34">
        <f t="shared" si="6"/>
        <v>18.249974334846002</v>
      </c>
      <c r="AD34">
        <f t="shared" si="6"/>
        <v>18.455008806226942</v>
      </c>
      <c r="AE34">
        <f t="shared" si="6"/>
        <v>18.623953169685088</v>
      </c>
      <c r="AF34">
        <f t="shared" si="6"/>
        <v>18.762271535018105</v>
      </c>
      <c r="AG34">
        <f t="shared" si="6"/>
        <v>18.874600806512607</v>
      </c>
      <c r="AH34">
        <f t="shared" si="6"/>
        <v>18.964875902127048</v>
      </c>
      <c r="AI34">
        <f t="shared" si="6"/>
        <v>19.036436019043709</v>
      </c>
      <c r="AJ34">
        <f t="shared" si="6"/>
        <v>19.092114814247491</v>
      </c>
      <c r="AK34">
        <f t="shared" si="6"/>
        <v>19.134316934648528</v>
      </c>
      <c r="AL34">
        <f t="shared" si="6"/>
        <v>19.165082962822439</v>
      </c>
      <c r="AM34">
        <f t="shared" si="6"/>
        <v>19.186144531755229</v>
      </c>
    </row>
    <row r="35" spans="1:39" x14ac:dyDescent="0.2">
      <c r="A35" s="2" t="s">
        <v>12</v>
      </c>
      <c r="B35" s="2" t="s">
        <v>35</v>
      </c>
      <c r="C35" s="23">
        <v>3.6</v>
      </c>
      <c r="D35" s="23">
        <v>4.0999999999999996</v>
      </c>
      <c r="E35" s="21">
        <f t="shared" ref="E35:N35" si="13">E9*E$28/E$2</f>
        <v>4.3559817562015537</v>
      </c>
      <c r="F35" s="21">
        <f t="shared" si="13"/>
        <v>4.6996174405750573</v>
      </c>
      <c r="G35" s="21">
        <f t="shared" si="13"/>
        <v>5.1112991136132511</v>
      </c>
      <c r="H35" s="21">
        <f t="shared" si="13"/>
        <v>5.4974476275921145</v>
      </c>
      <c r="I35" s="21">
        <f t="shared" si="13"/>
        <v>5.9440533877086015</v>
      </c>
      <c r="J35" s="21">
        <f t="shared" si="13"/>
        <v>6.46189597792584</v>
      </c>
      <c r="K35" s="21">
        <f t="shared" si="13"/>
        <v>6.9667960894648617</v>
      </c>
      <c r="L35" s="21">
        <f t="shared" si="13"/>
        <v>7.5409526981538892</v>
      </c>
      <c r="M35" s="21">
        <f t="shared" si="13"/>
        <v>8.0197006879002473</v>
      </c>
      <c r="N35" s="21">
        <f t="shared" si="13"/>
        <v>8.5662613219181942</v>
      </c>
      <c r="O35">
        <f t="shared" si="8"/>
        <v>9.0371428404125869</v>
      </c>
      <c r="P35">
        <f t="shared" si="6"/>
        <v>9.5338579652257014</v>
      </c>
      <c r="Q35">
        <f t="shared" si="6"/>
        <v>10.057821203347226</v>
      </c>
      <c r="R35">
        <f t="shared" si="6"/>
        <v>10.610524358355441</v>
      </c>
      <c r="S35">
        <f t="shared" si="6"/>
        <v>11.193540745769667</v>
      </c>
      <c r="T35">
        <f t="shared" si="6"/>
        <v>11.640635851488355</v>
      </c>
      <c r="U35">
        <f t="shared" si="6"/>
        <v>12.105524863797346</v>
      </c>
      <c r="V35">
        <f t="shared" si="6"/>
        <v>12.588913381587753</v>
      </c>
      <c r="W35">
        <f t="shared" si="6"/>
        <v>13.091534878952764</v>
      </c>
      <c r="X35">
        <f t="shared" si="6"/>
        <v>13.614151802147228</v>
      </c>
      <c r="Y35">
        <f t="shared" si="6"/>
        <v>14.035797792096426</v>
      </c>
      <c r="Z35">
        <f t="shared" si="6"/>
        <v>14.389421021647005</v>
      </c>
      <c r="AA35">
        <f t="shared" si="6"/>
        <v>14.685319483942205</v>
      </c>
      <c r="AB35">
        <f t="shared" si="6"/>
        <v>14.932232286291237</v>
      </c>
      <c r="AC35">
        <f t="shared" si="6"/>
        <v>15.137575611073814</v>
      </c>
      <c r="AD35">
        <f t="shared" si="6"/>
        <v>15.307642963304515</v>
      </c>
      <c r="AE35">
        <f t="shared" si="6"/>
        <v>15.447775109738792</v>
      </c>
      <c r="AF35">
        <f t="shared" si="6"/>
        <v>15.562504296487884</v>
      </c>
      <c r="AG35">
        <f t="shared" si="6"/>
        <v>15.655676637960065</v>
      </c>
      <c r="AH35">
        <f t="shared" si="6"/>
        <v>15.730555980834062</v>
      </c>
      <c r="AI35">
        <f t="shared" si="6"/>
        <v>15.789912046803693</v>
      </c>
      <c r="AJ35">
        <f t="shared" si="6"/>
        <v>15.836095233523112</v>
      </c>
      <c r="AK35">
        <f t="shared" si="6"/>
        <v>15.87110009308056</v>
      </c>
      <c r="AL35">
        <f t="shared" si="6"/>
        <v>15.896619201720933</v>
      </c>
      <c r="AM35">
        <f t="shared" si="6"/>
        <v>15.914088875176818</v>
      </c>
    </row>
    <row r="36" spans="1:39" x14ac:dyDescent="0.2">
      <c r="A36" s="5" t="s">
        <v>13</v>
      </c>
      <c r="B36" s="2" t="s">
        <v>35</v>
      </c>
      <c r="C36" s="21">
        <v>2</v>
      </c>
      <c r="D36" s="21">
        <v>2.6</v>
      </c>
      <c r="E36" s="21">
        <f t="shared" ref="E36:N36" si="14">E10*E$28/E$2</f>
        <v>3.1249434337967665</v>
      </c>
      <c r="F36" s="21">
        <f t="shared" si="14"/>
        <v>3.6859744631961235</v>
      </c>
      <c r="G36" s="21">
        <f t="shared" si="14"/>
        <v>4.2145799708740848</v>
      </c>
      <c r="H36" s="21">
        <f t="shared" si="14"/>
        <v>4.7120979665075273</v>
      </c>
      <c r="I36" s="21">
        <f t="shared" si="14"/>
        <v>5.1798179521460668</v>
      </c>
      <c r="J36" s="21">
        <f t="shared" si="14"/>
        <v>5.7066094350513907</v>
      </c>
      <c r="K36" s="21">
        <f t="shared" si="14"/>
        <v>6.2203536513079118</v>
      </c>
      <c r="L36" s="21">
        <f t="shared" si="14"/>
        <v>6.7212839266154241</v>
      </c>
      <c r="M36" s="21">
        <f t="shared" si="14"/>
        <v>7.2096299113446669</v>
      </c>
      <c r="N36" s="21">
        <f t="shared" si="14"/>
        <v>7.6055591175909196</v>
      </c>
      <c r="O36">
        <f t="shared" si="8"/>
        <v>8.0236314938242579</v>
      </c>
      <c r="P36">
        <f t="shared" si="6"/>
        <v>8.464640249499455</v>
      </c>
      <c r="Q36">
        <f t="shared" si="6"/>
        <v>8.9298412553082827</v>
      </c>
      <c r="R36">
        <f t="shared" si="6"/>
        <v>9.4205590097548288</v>
      </c>
      <c r="S36">
        <f t="shared" si="6"/>
        <v>9.9381903817581154</v>
      </c>
      <c r="T36">
        <f t="shared" si="6"/>
        <v>10.335143980293399</v>
      </c>
      <c r="U36">
        <f t="shared" si="6"/>
        <v>10.747895907109793</v>
      </c>
      <c r="V36">
        <f t="shared" si="6"/>
        <v>11.177072628512493</v>
      </c>
      <c r="W36">
        <f t="shared" si="6"/>
        <v>11.623325359817875</v>
      </c>
      <c r="X36">
        <f t="shared" si="6"/>
        <v>12.087331039289595</v>
      </c>
      <c r="Y36">
        <f t="shared" si="6"/>
        <v>12.461689628496826</v>
      </c>
      <c r="Z36">
        <f t="shared" si="6"/>
        <v>12.775654178097808</v>
      </c>
      <c r="AA36">
        <f t="shared" si="6"/>
        <v>13.03836776611691</v>
      </c>
      <c r="AB36">
        <f t="shared" si="6"/>
        <v>13.257589413062313</v>
      </c>
      <c r="AC36">
        <f t="shared" si="6"/>
        <v>13.439903579925348</v>
      </c>
      <c r="AD36">
        <f t="shared" si="6"/>
        <v>13.590897958074102</v>
      </c>
      <c r="AE36">
        <f t="shared" si="6"/>
        <v>13.715314349768088</v>
      </c>
      <c r="AF36">
        <f t="shared" si="6"/>
        <v>13.817176711835035</v>
      </c>
      <c r="AG36">
        <f t="shared" si="6"/>
        <v>13.899899818749592</v>
      </c>
      <c r="AH36">
        <f t="shared" si="6"/>
        <v>13.966381478310614</v>
      </c>
      <c r="AI36">
        <f t="shared" si="6"/>
        <v>14.019080789218231</v>
      </c>
      <c r="AJ36">
        <f t="shared" si="6"/>
        <v>14.060084553127995</v>
      </c>
      <c r="AK36">
        <f t="shared" si="6"/>
        <v>14.091163634043486</v>
      </c>
      <c r="AL36">
        <f t="shared" si="6"/>
        <v>14.113820786574658</v>
      </c>
      <c r="AM36">
        <f t="shared" si="6"/>
        <v>14.129331244315864</v>
      </c>
    </row>
    <row r="37" spans="1:39" x14ac:dyDescent="0.2">
      <c r="A37" s="2" t="s">
        <v>14</v>
      </c>
      <c r="B37" s="2" t="s">
        <v>35</v>
      </c>
      <c r="C37" s="23">
        <v>1.5</v>
      </c>
      <c r="D37" s="23">
        <v>1.8</v>
      </c>
      <c r="E37" s="21">
        <f t="shared" ref="E37:N37" si="15">E11*E$28/E$2</f>
        <v>2.0832956225311783</v>
      </c>
      <c r="F37" s="21">
        <f t="shared" si="15"/>
        <v>2.3958834010774805</v>
      </c>
      <c r="G37" s="21">
        <f t="shared" si="15"/>
        <v>2.6901574282175007</v>
      </c>
      <c r="H37" s="21">
        <f t="shared" si="15"/>
        <v>3.054137570884508</v>
      </c>
      <c r="I37" s="21">
        <f t="shared" si="15"/>
        <v>3.3116868874376495</v>
      </c>
      <c r="J37" s="21">
        <f t="shared" si="15"/>
        <v>3.6925119873861947</v>
      </c>
      <c r="K37" s="21">
        <f t="shared" si="15"/>
        <v>4.06396438552117</v>
      </c>
      <c r="L37" s="21">
        <f t="shared" si="15"/>
        <v>4.3442444891538718</v>
      </c>
      <c r="M37" s="21">
        <f t="shared" si="15"/>
        <v>4.6984105040223669</v>
      </c>
      <c r="N37" s="21">
        <f t="shared" si="15"/>
        <v>5.0436865727181894</v>
      </c>
      <c r="O37">
        <f t="shared" si="8"/>
        <v>5.3209345695887187</v>
      </c>
      <c r="P37">
        <f t="shared" si="6"/>
        <v>5.6133930075627969</v>
      </c>
      <c r="Q37">
        <f t="shared" si="6"/>
        <v>5.9218947272044407</v>
      </c>
      <c r="R37">
        <f t="shared" si="6"/>
        <v>6.247318080153204</v>
      </c>
      <c r="S37">
        <f t="shared" si="6"/>
        <v>6.5905894110606456</v>
      </c>
      <c r="T37">
        <f t="shared" si="6"/>
        <v>6.8538323237735179</v>
      </c>
      <c r="U37">
        <f t="shared" si="6"/>
        <v>7.1275520226096534</v>
      </c>
      <c r="V37">
        <f t="shared" si="6"/>
        <v>7.4121639536451269</v>
      </c>
      <c r="W37">
        <f t="shared" si="6"/>
        <v>7.7080999754581701</v>
      </c>
      <c r="X37">
        <f t="shared" si="6"/>
        <v>8.0158090050025752</v>
      </c>
      <c r="Y37">
        <f t="shared" si="6"/>
        <v>8.2640678588978957</v>
      </c>
      <c r="Z37">
        <f t="shared" si="6"/>
        <v>8.4722759286332838</v>
      </c>
      <c r="AA37">
        <f t="shared" si="6"/>
        <v>8.6464965185827936</v>
      </c>
      <c r="AB37">
        <f t="shared" si="6"/>
        <v>8.791875084451851</v>
      </c>
      <c r="AC37">
        <f t="shared" si="6"/>
        <v>8.9127781635294419</v>
      </c>
      <c r="AD37">
        <f t="shared" si="6"/>
        <v>9.0129112774596685</v>
      </c>
      <c r="AE37">
        <f t="shared" si="6"/>
        <v>9.0954189898462054</v>
      </c>
      <c r="AF37">
        <f t="shared" si="6"/>
        <v>9.1629698194274471</v>
      </c>
      <c r="AG37">
        <f t="shared" si="6"/>
        <v>9.2178283008549933</v>
      </c>
      <c r="AH37">
        <f t="shared" si="6"/>
        <v>9.2619161382480915</v>
      </c>
      <c r="AI37">
        <f t="shared" si="6"/>
        <v>9.2968641023236689</v>
      </c>
      <c r="AJ37">
        <f t="shared" si="6"/>
        <v>9.3240560720743559</v>
      </c>
      <c r="AK37">
        <f t="shared" si="6"/>
        <v>9.3446664099446277</v>
      </c>
      <c r="AL37">
        <f t="shared" si="6"/>
        <v>9.359691679517935</v>
      </c>
      <c r="AM37">
        <f t="shared" si="6"/>
        <v>9.3699775620199954</v>
      </c>
    </row>
    <row r="38" spans="1:39" x14ac:dyDescent="0.2">
      <c r="A38" s="2" t="s">
        <v>16</v>
      </c>
      <c r="B38" s="2" t="s">
        <v>35</v>
      </c>
      <c r="C38" s="23">
        <v>2.2000000000000002</v>
      </c>
      <c r="D38" s="23">
        <v>2.5</v>
      </c>
      <c r="E38" s="21">
        <f t="shared" ref="E38:N38" si="16">E12*E$28/E$2</f>
        <v>2.5567719003791729</v>
      </c>
      <c r="F38" s="21">
        <f t="shared" si="16"/>
        <v>2.7644808473970923</v>
      </c>
      <c r="G38" s="21">
        <f t="shared" si="16"/>
        <v>2.8695012567653344</v>
      </c>
      <c r="H38" s="21">
        <f t="shared" si="16"/>
        <v>3.054137570884508</v>
      </c>
      <c r="I38" s="21">
        <f t="shared" si="16"/>
        <v>3.2267718390418123</v>
      </c>
      <c r="J38" s="21">
        <f t="shared" si="16"/>
        <v>3.4407498064280446</v>
      </c>
      <c r="K38" s="21">
        <f t="shared" si="16"/>
        <v>3.649274142100642</v>
      </c>
      <c r="L38" s="21">
        <f t="shared" si="16"/>
        <v>3.8524432262307915</v>
      </c>
      <c r="M38" s="21">
        <f t="shared" si="16"/>
        <v>4.0503538827779026</v>
      </c>
      <c r="N38" s="21">
        <f t="shared" si="16"/>
        <v>4.3231599194727339</v>
      </c>
      <c r="O38">
        <f t="shared" si="8"/>
        <v>4.5608010596474733</v>
      </c>
      <c r="P38">
        <f t="shared" si="6"/>
        <v>4.8114797207681113</v>
      </c>
      <c r="Q38">
        <f t="shared" si="6"/>
        <v>5.0759097661752355</v>
      </c>
      <c r="R38">
        <f t="shared" si="6"/>
        <v>5.3548440687027465</v>
      </c>
      <c r="S38">
        <f t="shared" si="6"/>
        <v>5.6490766380519819</v>
      </c>
      <c r="T38">
        <f t="shared" si="6"/>
        <v>5.8747134203773008</v>
      </c>
      <c r="U38">
        <f t="shared" si="6"/>
        <v>6.1093303050939882</v>
      </c>
      <c r="V38">
        <f t="shared" si="6"/>
        <v>6.3532833888386806</v>
      </c>
      <c r="W38">
        <f t="shared" si="6"/>
        <v>6.6069428361070033</v>
      </c>
      <c r="X38">
        <f t="shared" si="6"/>
        <v>6.8706934328593494</v>
      </c>
      <c r="Y38">
        <f t="shared" si="6"/>
        <v>7.0834867361981972</v>
      </c>
      <c r="Z38">
        <f t="shared" si="6"/>
        <v>7.2619507959713872</v>
      </c>
      <c r="AA38">
        <f t="shared" si="6"/>
        <v>7.4112827302138236</v>
      </c>
      <c r="AB38">
        <f t="shared" si="6"/>
        <v>7.5358929295301573</v>
      </c>
      <c r="AC38">
        <f t="shared" si="6"/>
        <v>7.6395241401680929</v>
      </c>
      <c r="AD38">
        <f t="shared" si="6"/>
        <v>7.7253525235368583</v>
      </c>
      <c r="AE38">
        <f t="shared" si="6"/>
        <v>7.7960734198681774</v>
      </c>
      <c r="AF38">
        <f t="shared" si="6"/>
        <v>7.8539741309378099</v>
      </c>
      <c r="AG38">
        <f t="shared" si="6"/>
        <v>7.9009956864471373</v>
      </c>
      <c r="AH38">
        <f t="shared" si="6"/>
        <v>7.9387852613555081</v>
      </c>
      <c r="AI38">
        <f t="shared" si="6"/>
        <v>7.9687406591345749</v>
      </c>
      <c r="AJ38">
        <f t="shared" si="6"/>
        <v>7.9920480617780205</v>
      </c>
      <c r="AK38">
        <f t="shared" si="6"/>
        <v>8.0097140656668255</v>
      </c>
      <c r="AL38">
        <f t="shared" si="6"/>
        <v>8.0225928681582293</v>
      </c>
      <c r="AM38">
        <f t="shared" si="6"/>
        <v>8.0314093388742815</v>
      </c>
    </row>
    <row r="39" spans="1:39" x14ac:dyDescent="0.2">
      <c r="A39" s="5" t="s">
        <v>17</v>
      </c>
      <c r="B39" s="2" t="s">
        <v>35</v>
      </c>
      <c r="C39" s="21">
        <v>2.7</v>
      </c>
      <c r="D39" s="21">
        <v>2.9</v>
      </c>
      <c r="E39" s="21">
        <f t="shared" ref="E39:N39" si="17">E13*E$28/E$2</f>
        <v>2.8408576670879699</v>
      </c>
      <c r="F39" s="21">
        <f t="shared" si="17"/>
        <v>2.9487795705568991</v>
      </c>
      <c r="G39" s="21">
        <f t="shared" si="17"/>
        <v>3.0488450853131677</v>
      </c>
      <c r="H39" s="21">
        <f t="shared" si="17"/>
        <v>3.054137570884508</v>
      </c>
      <c r="I39" s="21">
        <f t="shared" si="17"/>
        <v>3.1418567906459756</v>
      </c>
      <c r="J39" s="21">
        <f t="shared" si="17"/>
        <v>3.272908352455945</v>
      </c>
      <c r="K39" s="21">
        <f t="shared" si="17"/>
        <v>3.4833980447324309</v>
      </c>
      <c r="L39" s="21">
        <f t="shared" si="17"/>
        <v>3.6065425947692527</v>
      </c>
      <c r="M39" s="21">
        <f t="shared" si="17"/>
        <v>3.7263255721556705</v>
      </c>
      <c r="N39" s="21">
        <f t="shared" si="17"/>
        <v>3.8428088173090962</v>
      </c>
      <c r="O39">
        <f t="shared" si="8"/>
        <v>4.0540453863533088</v>
      </c>
      <c r="P39">
        <f t="shared" si="6"/>
        <v>4.2768708629049872</v>
      </c>
      <c r="Q39">
        <f t="shared" si="6"/>
        <v>4.5119197921557648</v>
      </c>
      <c r="R39">
        <f t="shared" si="6"/>
        <v>4.7598613944024404</v>
      </c>
      <c r="S39">
        <f t="shared" si="6"/>
        <v>5.0214014560462052</v>
      </c>
      <c r="T39">
        <f t="shared" si="6"/>
        <v>5.2219674847798219</v>
      </c>
      <c r="U39">
        <f t="shared" si="6"/>
        <v>5.4305158267502112</v>
      </c>
      <c r="V39">
        <f t="shared" si="6"/>
        <v>5.6473630123010476</v>
      </c>
      <c r="W39">
        <f t="shared" si="6"/>
        <v>5.8728380765395576</v>
      </c>
      <c r="X39">
        <f t="shared" si="6"/>
        <v>6.1072830514305316</v>
      </c>
      <c r="Y39">
        <f t="shared" si="6"/>
        <v>6.2964326543983962</v>
      </c>
      <c r="Z39">
        <f t="shared" si="6"/>
        <v>6.455067374196787</v>
      </c>
      <c r="AA39">
        <f t="shared" si="6"/>
        <v>6.5878068713011757</v>
      </c>
      <c r="AB39">
        <f t="shared" si="6"/>
        <v>6.6985714929156952</v>
      </c>
      <c r="AC39">
        <f t="shared" si="6"/>
        <v>6.79068812459386</v>
      </c>
      <c r="AD39">
        <f t="shared" si="6"/>
        <v>6.8669800209216501</v>
      </c>
      <c r="AE39">
        <f t="shared" ref="AE39:AM53" si="18">$N39*AE$28/$N$28</f>
        <v>6.9298430398828232</v>
      </c>
      <c r="AF39">
        <f t="shared" si="18"/>
        <v>6.9813103386113857</v>
      </c>
      <c r="AG39">
        <f t="shared" si="18"/>
        <v>7.0231072768418983</v>
      </c>
      <c r="AH39">
        <f t="shared" si="18"/>
        <v>7.0566980100937835</v>
      </c>
      <c r="AI39">
        <f t="shared" si="18"/>
        <v>7.0833250303418431</v>
      </c>
      <c r="AJ39">
        <f t="shared" si="18"/>
        <v>7.1040427215804609</v>
      </c>
      <c r="AK39">
        <f t="shared" si="18"/>
        <v>7.1197458361482875</v>
      </c>
      <c r="AL39">
        <f t="shared" si="18"/>
        <v>7.1311936605850912</v>
      </c>
      <c r="AM39">
        <f t="shared" si="18"/>
        <v>7.1390305234438047</v>
      </c>
    </row>
    <row r="40" spans="1:39" x14ac:dyDescent="0.2">
      <c r="A40" s="2" t="s">
        <v>18</v>
      </c>
      <c r="B40" s="2" t="s">
        <v>35</v>
      </c>
      <c r="C40" s="23">
        <v>1.2</v>
      </c>
      <c r="D40" s="23">
        <v>1.5</v>
      </c>
      <c r="E40" s="21">
        <f t="shared" ref="E40:N40" si="19">E14*E$28/E$2</f>
        <v>1.704514600252782</v>
      </c>
      <c r="F40" s="21">
        <f t="shared" si="19"/>
        <v>1.8429872315980618</v>
      </c>
      <c r="G40" s="21">
        <f t="shared" si="19"/>
        <v>2.0624540283000838</v>
      </c>
      <c r="H40" s="21">
        <f t="shared" si="19"/>
        <v>2.2687879097999204</v>
      </c>
      <c r="I40" s="21">
        <f t="shared" si="19"/>
        <v>2.5474514518751152</v>
      </c>
      <c r="J40" s="21">
        <f t="shared" si="19"/>
        <v>2.7693839905396453</v>
      </c>
      <c r="K40" s="21">
        <f t="shared" si="19"/>
        <v>2.9857697526277978</v>
      </c>
      <c r="L40" s="21">
        <f t="shared" si="19"/>
        <v>3.2786750861538652</v>
      </c>
      <c r="M40" s="21">
        <f t="shared" si="19"/>
        <v>3.4833043391889964</v>
      </c>
      <c r="N40" s="21">
        <f t="shared" si="19"/>
        <v>3.6826917832545507</v>
      </c>
      <c r="O40">
        <f t="shared" si="8"/>
        <v>3.885126828588588</v>
      </c>
      <c r="P40">
        <f t="shared" si="8"/>
        <v>4.0986679102839467</v>
      </c>
      <c r="Q40">
        <f t="shared" si="8"/>
        <v>4.3239231341492745</v>
      </c>
      <c r="R40">
        <f t="shared" si="8"/>
        <v>4.5615338363023392</v>
      </c>
      <c r="S40">
        <f t="shared" si="8"/>
        <v>4.8121763953776142</v>
      </c>
      <c r="T40">
        <f t="shared" si="8"/>
        <v>5.0043855062473295</v>
      </c>
      <c r="U40">
        <f t="shared" si="8"/>
        <v>5.204244333968953</v>
      </c>
      <c r="V40">
        <f t="shared" si="8"/>
        <v>5.4120562201218378</v>
      </c>
      <c r="W40">
        <f t="shared" si="8"/>
        <v>5.6281364900170763</v>
      </c>
      <c r="X40">
        <f t="shared" si="8"/>
        <v>5.8528129242875933</v>
      </c>
      <c r="Y40">
        <f t="shared" si="8"/>
        <v>6.0340812937984634</v>
      </c>
      <c r="Z40">
        <f t="shared" si="8"/>
        <v>6.1861062336052548</v>
      </c>
      <c r="AA40">
        <f t="shared" si="8"/>
        <v>6.3133149183302928</v>
      </c>
      <c r="AB40">
        <f t="shared" si="8"/>
        <v>6.4194643473775415</v>
      </c>
      <c r="AC40">
        <f t="shared" si="8"/>
        <v>6.5077427860691159</v>
      </c>
      <c r="AD40">
        <f t="shared" si="8"/>
        <v>6.5808558533832491</v>
      </c>
      <c r="AE40">
        <f t="shared" si="18"/>
        <v>6.6410995798877055</v>
      </c>
      <c r="AF40">
        <f t="shared" si="18"/>
        <v>6.6904224078359116</v>
      </c>
      <c r="AG40">
        <f t="shared" si="18"/>
        <v>6.7304778069734859</v>
      </c>
      <c r="AH40">
        <f t="shared" si="18"/>
        <v>6.7626689263398765</v>
      </c>
      <c r="AI40">
        <f t="shared" si="18"/>
        <v>6.7881864874109334</v>
      </c>
      <c r="AJ40">
        <f t="shared" si="18"/>
        <v>6.8080409415146086</v>
      </c>
      <c r="AK40">
        <f t="shared" si="18"/>
        <v>6.8230897596421096</v>
      </c>
      <c r="AL40">
        <f t="shared" si="18"/>
        <v>6.8340605913940466</v>
      </c>
      <c r="AM40">
        <f t="shared" si="18"/>
        <v>6.8415709183003139</v>
      </c>
    </row>
    <row r="41" spans="1:39" x14ac:dyDescent="0.2">
      <c r="A41" s="5" t="s">
        <v>19</v>
      </c>
      <c r="B41" s="2" t="s">
        <v>35</v>
      </c>
      <c r="C41" s="21">
        <v>1.1000000000000001</v>
      </c>
      <c r="D41" s="21">
        <v>1.2</v>
      </c>
      <c r="E41" s="21">
        <f t="shared" ref="E41:N41" si="20">E15*E$28/E$2</f>
        <v>1.325733577974386</v>
      </c>
      <c r="F41" s="21">
        <f t="shared" si="20"/>
        <v>1.4743897852784495</v>
      </c>
      <c r="G41" s="21">
        <f t="shared" si="20"/>
        <v>1.6140944569305005</v>
      </c>
      <c r="H41" s="21">
        <f t="shared" si="20"/>
        <v>1.832482542530705</v>
      </c>
      <c r="I41" s="21">
        <f t="shared" si="20"/>
        <v>1.9530461131042549</v>
      </c>
      <c r="J41" s="21">
        <f t="shared" si="20"/>
        <v>2.098018174651247</v>
      </c>
      <c r="K41" s="21">
        <f t="shared" si="20"/>
        <v>2.3222653631549535</v>
      </c>
      <c r="L41" s="21">
        <f t="shared" si="20"/>
        <v>2.4590063146153991</v>
      </c>
      <c r="M41" s="21">
        <f t="shared" si="20"/>
        <v>2.6732335626334156</v>
      </c>
      <c r="N41" s="21">
        <f t="shared" si="20"/>
        <v>2.8020480959545493</v>
      </c>
      <c r="O41">
        <f t="shared" si="8"/>
        <v>2.9560747608826214</v>
      </c>
      <c r="P41">
        <f t="shared" si="8"/>
        <v>3.1185516708682197</v>
      </c>
      <c r="Q41">
        <f t="shared" si="8"/>
        <v>3.2899415151135778</v>
      </c>
      <c r="R41">
        <f t="shared" si="8"/>
        <v>3.4707322667517793</v>
      </c>
      <c r="S41">
        <f t="shared" si="8"/>
        <v>3.6614385617003582</v>
      </c>
      <c r="T41">
        <f t="shared" si="8"/>
        <v>3.8076846243186204</v>
      </c>
      <c r="U41">
        <f t="shared" si="8"/>
        <v>3.9597511236720289</v>
      </c>
      <c r="V41">
        <f t="shared" si="8"/>
        <v>4.1178688631361808</v>
      </c>
      <c r="W41">
        <f t="shared" si="8"/>
        <v>4.2822777641434273</v>
      </c>
      <c r="X41">
        <f t="shared" si="8"/>
        <v>4.45322722500143</v>
      </c>
      <c r="Y41">
        <f t="shared" si="8"/>
        <v>4.5911488104988303</v>
      </c>
      <c r="Z41">
        <f t="shared" si="8"/>
        <v>4.7068199603518242</v>
      </c>
      <c r="AA41">
        <f t="shared" si="8"/>
        <v>4.8036091769904408</v>
      </c>
      <c r="AB41">
        <f t="shared" si="8"/>
        <v>4.8843750469176941</v>
      </c>
      <c r="AC41">
        <f t="shared" si="8"/>
        <v>4.951543424183023</v>
      </c>
      <c r="AD41">
        <f t="shared" si="8"/>
        <v>5.0071729319220371</v>
      </c>
      <c r="AE41">
        <f t="shared" si="18"/>
        <v>5.0530105499145579</v>
      </c>
      <c r="AF41">
        <f t="shared" si="18"/>
        <v>5.0905387885708029</v>
      </c>
      <c r="AG41">
        <f t="shared" si="18"/>
        <v>5.1210157226972175</v>
      </c>
      <c r="AH41">
        <f t="shared" si="18"/>
        <v>5.1455089656933843</v>
      </c>
      <c r="AI41">
        <f t="shared" si="18"/>
        <v>5.1649245012909271</v>
      </c>
      <c r="AJ41">
        <f t="shared" si="18"/>
        <v>5.1800311511524191</v>
      </c>
      <c r="AK41">
        <f t="shared" si="18"/>
        <v>5.191481338858126</v>
      </c>
      <c r="AL41">
        <f t="shared" si="18"/>
        <v>5.1998287108432963</v>
      </c>
      <c r="AM41">
        <f t="shared" si="18"/>
        <v>5.2055430900111084</v>
      </c>
    </row>
    <row r="42" spans="1:39" x14ac:dyDescent="0.2">
      <c r="A42" s="27" t="s">
        <v>66</v>
      </c>
      <c r="B42" s="2" t="s">
        <v>35</v>
      </c>
      <c r="C42" s="23">
        <v>1.3</v>
      </c>
      <c r="D42" s="23">
        <v>1.5</v>
      </c>
      <c r="E42" s="21">
        <f t="shared" ref="E42:N42" si="21">E16*E$28/E$2</f>
        <v>1.609819344683183</v>
      </c>
      <c r="F42" s="21">
        <f t="shared" si="21"/>
        <v>1.6586885084382554</v>
      </c>
      <c r="G42" s="21">
        <f t="shared" si="21"/>
        <v>1.7934382854783339</v>
      </c>
      <c r="H42" s="21">
        <f t="shared" si="21"/>
        <v>1.919743615984548</v>
      </c>
      <c r="I42" s="21">
        <f t="shared" si="21"/>
        <v>2.0379611615000917</v>
      </c>
      <c r="J42" s="21">
        <f t="shared" si="21"/>
        <v>2.1819389016372965</v>
      </c>
      <c r="K42" s="21">
        <f t="shared" si="21"/>
        <v>2.3222653631549535</v>
      </c>
      <c r="L42" s="21">
        <f t="shared" si="21"/>
        <v>2.5409731917692455</v>
      </c>
      <c r="M42" s="21">
        <f t="shared" si="21"/>
        <v>2.6732335626334156</v>
      </c>
      <c r="N42" s="21">
        <f t="shared" si="21"/>
        <v>2.8020480959545493</v>
      </c>
      <c r="O42">
        <f t="shared" si="8"/>
        <v>2.9560747608826214</v>
      </c>
      <c r="P42">
        <f t="shared" si="8"/>
        <v>3.1185516708682197</v>
      </c>
      <c r="Q42">
        <f t="shared" si="8"/>
        <v>3.2899415151135778</v>
      </c>
      <c r="R42">
        <f t="shared" si="8"/>
        <v>3.4707322667517793</v>
      </c>
      <c r="S42">
        <f t="shared" si="8"/>
        <v>3.6614385617003582</v>
      </c>
      <c r="T42">
        <f t="shared" si="8"/>
        <v>3.8076846243186204</v>
      </c>
      <c r="U42">
        <f t="shared" si="8"/>
        <v>3.9597511236720289</v>
      </c>
      <c r="V42">
        <f t="shared" si="8"/>
        <v>4.1178688631361808</v>
      </c>
      <c r="W42">
        <f t="shared" si="8"/>
        <v>4.2822777641434273</v>
      </c>
      <c r="X42">
        <f t="shared" si="8"/>
        <v>4.45322722500143</v>
      </c>
      <c r="Y42">
        <f t="shared" si="8"/>
        <v>4.5911488104988303</v>
      </c>
      <c r="Z42">
        <f t="shared" si="8"/>
        <v>4.7068199603518242</v>
      </c>
      <c r="AA42">
        <f t="shared" si="8"/>
        <v>4.8036091769904408</v>
      </c>
      <c r="AB42">
        <f t="shared" si="8"/>
        <v>4.8843750469176941</v>
      </c>
      <c r="AC42">
        <f t="shared" si="8"/>
        <v>4.951543424183023</v>
      </c>
      <c r="AD42">
        <f t="shared" si="8"/>
        <v>5.0071729319220371</v>
      </c>
      <c r="AE42">
        <f t="shared" si="18"/>
        <v>5.0530105499145579</v>
      </c>
      <c r="AF42">
        <f t="shared" si="18"/>
        <v>5.0905387885708029</v>
      </c>
      <c r="AG42">
        <f t="shared" si="18"/>
        <v>5.1210157226972175</v>
      </c>
      <c r="AH42">
        <f t="shared" si="18"/>
        <v>5.1455089656933843</v>
      </c>
      <c r="AI42">
        <f t="shared" si="18"/>
        <v>5.1649245012909271</v>
      </c>
      <c r="AJ42">
        <f t="shared" si="18"/>
        <v>5.1800311511524191</v>
      </c>
      <c r="AK42">
        <f t="shared" si="18"/>
        <v>5.191481338858126</v>
      </c>
      <c r="AL42">
        <f t="shared" si="18"/>
        <v>5.1998287108432963</v>
      </c>
      <c r="AM42">
        <f t="shared" si="18"/>
        <v>5.2055430900111084</v>
      </c>
    </row>
    <row r="43" spans="1:39" x14ac:dyDescent="0.2">
      <c r="A43" s="5" t="s">
        <v>21</v>
      </c>
      <c r="B43" s="2" t="s">
        <v>35</v>
      </c>
      <c r="C43" s="21">
        <v>1.6</v>
      </c>
      <c r="D43" s="21">
        <v>1.7</v>
      </c>
      <c r="E43" s="21">
        <f t="shared" ref="E43:N43" si="22">E17*E$28/E$2</f>
        <v>1.704514600252782</v>
      </c>
      <c r="F43" s="21">
        <f t="shared" si="22"/>
        <v>1.7508378700181586</v>
      </c>
      <c r="G43" s="21">
        <f t="shared" si="22"/>
        <v>1.7934382854783339</v>
      </c>
      <c r="H43" s="21">
        <f t="shared" si="22"/>
        <v>1.919743615984548</v>
      </c>
      <c r="I43" s="21">
        <f t="shared" si="22"/>
        <v>1.9530461131042549</v>
      </c>
      <c r="J43" s="21">
        <f t="shared" si="22"/>
        <v>2.098018174651247</v>
      </c>
      <c r="K43" s="21">
        <f t="shared" si="22"/>
        <v>2.1563892657867427</v>
      </c>
      <c r="L43" s="21">
        <f t="shared" si="22"/>
        <v>2.2950725603077058</v>
      </c>
      <c r="M43" s="21">
        <f t="shared" si="22"/>
        <v>2.4302123296667419</v>
      </c>
      <c r="N43" s="21">
        <f t="shared" si="22"/>
        <v>2.4818140278454583</v>
      </c>
      <c r="O43">
        <f t="shared" si="8"/>
        <v>2.618237645353179</v>
      </c>
      <c r="P43">
        <f t="shared" si="8"/>
        <v>2.7621457656261383</v>
      </c>
      <c r="Q43">
        <f t="shared" si="8"/>
        <v>2.9139481991005982</v>
      </c>
      <c r="R43">
        <f t="shared" si="8"/>
        <v>3.0740771505515765</v>
      </c>
      <c r="S43">
        <f t="shared" si="8"/>
        <v>3.2429884403631748</v>
      </c>
      <c r="T43">
        <f t="shared" si="8"/>
        <v>3.3725206672536352</v>
      </c>
      <c r="U43">
        <f t="shared" si="8"/>
        <v>3.5072081381095122</v>
      </c>
      <c r="V43">
        <f t="shared" si="8"/>
        <v>3.6472552787777608</v>
      </c>
      <c r="W43">
        <f t="shared" si="8"/>
        <v>3.7928745910984647</v>
      </c>
      <c r="X43">
        <f t="shared" si="8"/>
        <v>3.9442869707155523</v>
      </c>
      <c r="Y43">
        <f t="shared" si="8"/>
        <v>4.0664460892989656</v>
      </c>
      <c r="Z43">
        <f t="shared" si="8"/>
        <v>4.1688976791687589</v>
      </c>
      <c r="AA43">
        <f t="shared" si="8"/>
        <v>4.2546252710486758</v>
      </c>
      <c r="AB43">
        <f t="shared" si="8"/>
        <v>4.3261607558413875</v>
      </c>
      <c r="AC43">
        <f t="shared" si="8"/>
        <v>4.3856527471335349</v>
      </c>
      <c r="AD43">
        <f t="shared" si="8"/>
        <v>4.4349245968452333</v>
      </c>
      <c r="AE43">
        <f t="shared" si="18"/>
        <v>4.4755236299243242</v>
      </c>
      <c r="AF43">
        <f t="shared" si="18"/>
        <v>4.5087629270198546</v>
      </c>
      <c r="AG43">
        <f t="shared" si="18"/>
        <v>4.5357567829603935</v>
      </c>
      <c r="AH43">
        <f t="shared" si="18"/>
        <v>4.5574507981855685</v>
      </c>
      <c r="AI43">
        <f t="shared" si="18"/>
        <v>4.5746474154291077</v>
      </c>
      <c r="AJ43">
        <f t="shared" si="18"/>
        <v>4.5880275910207153</v>
      </c>
      <c r="AK43">
        <f t="shared" si="18"/>
        <v>4.5981691858457703</v>
      </c>
      <c r="AL43">
        <f t="shared" si="18"/>
        <v>4.6055625724612055</v>
      </c>
      <c r="AM43">
        <f t="shared" si="18"/>
        <v>4.610623879724125</v>
      </c>
    </row>
    <row r="44" spans="1:39" x14ac:dyDescent="0.2">
      <c r="A44" s="2" t="s">
        <v>22</v>
      </c>
      <c r="B44" s="2" t="s">
        <v>35</v>
      </c>
      <c r="C44" s="23">
        <v>0.5</v>
      </c>
      <c r="D44" s="23">
        <v>0.6</v>
      </c>
      <c r="E44" s="21">
        <f t="shared" ref="E44:N44" si="23">E18*E$28/E$2</f>
        <v>0.66286678898719298</v>
      </c>
      <c r="F44" s="21">
        <f t="shared" si="23"/>
        <v>0.73719489263922477</v>
      </c>
      <c r="G44" s="21">
        <f t="shared" si="23"/>
        <v>0.80704722846525023</v>
      </c>
      <c r="H44" s="21">
        <f t="shared" si="23"/>
        <v>0.87261073453843085</v>
      </c>
      <c r="I44" s="21">
        <f t="shared" si="23"/>
        <v>1.0189805807500458</v>
      </c>
      <c r="J44" s="21">
        <f t="shared" si="23"/>
        <v>1.0909694508186483</v>
      </c>
      <c r="K44" s="21">
        <f t="shared" si="23"/>
        <v>1.2440707302615823</v>
      </c>
      <c r="L44" s="21">
        <f t="shared" si="23"/>
        <v>1.3114700344615462</v>
      </c>
      <c r="M44" s="21">
        <f t="shared" si="23"/>
        <v>1.4581273978000451</v>
      </c>
      <c r="N44" s="21">
        <f t="shared" si="23"/>
        <v>1.5211118235181837</v>
      </c>
      <c r="O44">
        <f t="shared" si="8"/>
        <v>1.6047262987648514</v>
      </c>
      <c r="P44">
        <f t="shared" si="8"/>
        <v>1.6929280498998907</v>
      </c>
      <c r="Q44">
        <f t="shared" si="8"/>
        <v>1.7859682510616564</v>
      </c>
      <c r="R44">
        <f t="shared" si="8"/>
        <v>1.8841118019509657</v>
      </c>
      <c r="S44">
        <f t="shared" si="8"/>
        <v>1.9876380763516226</v>
      </c>
      <c r="T44">
        <f t="shared" si="8"/>
        <v>2.0670287960586795</v>
      </c>
      <c r="U44">
        <f t="shared" si="8"/>
        <v>2.1495791814219585</v>
      </c>
      <c r="V44">
        <f t="shared" si="8"/>
        <v>2.235414525702498</v>
      </c>
      <c r="W44">
        <f t="shared" si="8"/>
        <v>2.3246650719635742</v>
      </c>
      <c r="X44">
        <f t="shared" si="8"/>
        <v>2.4174662078579185</v>
      </c>
      <c r="Y44">
        <f t="shared" si="8"/>
        <v>2.4923379256993652</v>
      </c>
      <c r="Z44">
        <f t="shared" si="8"/>
        <v>2.5551308356195612</v>
      </c>
      <c r="AA44">
        <f t="shared" si="8"/>
        <v>2.6076735532233815</v>
      </c>
      <c r="AB44">
        <f t="shared" si="8"/>
        <v>2.6515178826124624</v>
      </c>
      <c r="AC44">
        <f t="shared" si="8"/>
        <v>2.687980715985069</v>
      </c>
      <c r="AD44">
        <f t="shared" si="8"/>
        <v>2.7181795916148199</v>
      </c>
      <c r="AE44">
        <f t="shared" si="18"/>
        <v>2.7430628699536173</v>
      </c>
      <c r="AF44">
        <f t="shared" si="18"/>
        <v>2.7634353423670066</v>
      </c>
      <c r="AG44">
        <f t="shared" si="18"/>
        <v>2.7799799637499176</v>
      </c>
      <c r="AH44">
        <f t="shared" si="18"/>
        <v>2.7932762956621224</v>
      </c>
      <c r="AI44">
        <f t="shared" si="18"/>
        <v>2.803816157843646</v>
      </c>
      <c r="AJ44">
        <f t="shared" si="18"/>
        <v>2.8120169106255988</v>
      </c>
      <c r="AK44">
        <f t="shared" si="18"/>
        <v>2.8182327268086969</v>
      </c>
      <c r="AL44">
        <f t="shared" si="18"/>
        <v>2.822764157314932</v>
      </c>
      <c r="AM44">
        <f t="shared" si="18"/>
        <v>2.8258662488631723</v>
      </c>
    </row>
    <row r="45" spans="1:39" x14ac:dyDescent="0.2">
      <c r="A45" s="5" t="s">
        <v>23</v>
      </c>
      <c r="B45" s="2" t="s">
        <v>35</v>
      </c>
      <c r="C45" s="21">
        <v>1</v>
      </c>
      <c r="D45" s="21">
        <v>1</v>
      </c>
      <c r="E45" s="21">
        <f t="shared" ref="E45:N45" si="24">E19*E$28/E$2</f>
        <v>1.0416478112655891</v>
      </c>
      <c r="F45" s="21">
        <f t="shared" si="24"/>
        <v>1.1057923389588369</v>
      </c>
      <c r="G45" s="21">
        <f t="shared" si="24"/>
        <v>1.1657348855609171</v>
      </c>
      <c r="H45" s="21">
        <f t="shared" si="24"/>
        <v>1.1343939548999602</v>
      </c>
      <c r="I45" s="21">
        <f t="shared" si="24"/>
        <v>1.1888106775417202</v>
      </c>
      <c r="J45" s="21">
        <f t="shared" si="24"/>
        <v>1.2588109047907481</v>
      </c>
      <c r="K45" s="21">
        <f t="shared" si="24"/>
        <v>1.3270087789456879</v>
      </c>
      <c r="L45" s="21">
        <f t="shared" si="24"/>
        <v>1.3934369116153928</v>
      </c>
      <c r="M45" s="21">
        <f t="shared" si="24"/>
        <v>1.4581273978000451</v>
      </c>
      <c r="N45" s="21">
        <f t="shared" si="24"/>
        <v>1.5211118235181837</v>
      </c>
      <c r="O45">
        <f t="shared" si="8"/>
        <v>1.6047262987648514</v>
      </c>
      <c r="P45">
        <f t="shared" si="8"/>
        <v>1.6929280498998907</v>
      </c>
      <c r="Q45">
        <f t="shared" si="8"/>
        <v>1.7859682510616564</v>
      </c>
      <c r="R45">
        <f t="shared" si="8"/>
        <v>1.8841118019509657</v>
      </c>
      <c r="S45">
        <f t="shared" si="8"/>
        <v>1.9876380763516226</v>
      </c>
      <c r="T45">
        <f t="shared" si="8"/>
        <v>2.0670287960586795</v>
      </c>
      <c r="U45">
        <f t="shared" si="8"/>
        <v>2.1495791814219585</v>
      </c>
      <c r="V45">
        <f t="shared" si="8"/>
        <v>2.235414525702498</v>
      </c>
      <c r="W45">
        <f t="shared" si="8"/>
        <v>2.3246650719635742</v>
      </c>
      <c r="X45">
        <f t="shared" si="8"/>
        <v>2.4174662078579185</v>
      </c>
      <c r="Y45">
        <f t="shared" si="8"/>
        <v>2.4923379256993652</v>
      </c>
      <c r="Z45">
        <f t="shared" si="8"/>
        <v>2.5551308356195612</v>
      </c>
      <c r="AA45">
        <f t="shared" si="8"/>
        <v>2.6076735532233815</v>
      </c>
      <c r="AB45">
        <f t="shared" si="8"/>
        <v>2.6515178826124624</v>
      </c>
      <c r="AC45">
        <f t="shared" si="8"/>
        <v>2.687980715985069</v>
      </c>
      <c r="AD45">
        <f t="shared" si="8"/>
        <v>2.7181795916148199</v>
      </c>
      <c r="AE45">
        <f t="shared" si="18"/>
        <v>2.7430628699536173</v>
      </c>
      <c r="AF45">
        <f t="shared" si="18"/>
        <v>2.7634353423670066</v>
      </c>
      <c r="AG45">
        <f t="shared" si="18"/>
        <v>2.7799799637499176</v>
      </c>
      <c r="AH45">
        <f t="shared" si="18"/>
        <v>2.7932762956621224</v>
      </c>
      <c r="AI45">
        <f t="shared" si="18"/>
        <v>2.803816157843646</v>
      </c>
      <c r="AJ45">
        <f t="shared" si="18"/>
        <v>2.8120169106255988</v>
      </c>
      <c r="AK45">
        <f t="shared" si="18"/>
        <v>2.8182327268086969</v>
      </c>
      <c r="AL45">
        <f t="shared" si="18"/>
        <v>2.822764157314932</v>
      </c>
      <c r="AM45">
        <f t="shared" si="18"/>
        <v>2.8258662488631723</v>
      </c>
    </row>
    <row r="46" spans="1:39" x14ac:dyDescent="0.2">
      <c r="A46" s="2" t="s">
        <v>24</v>
      </c>
      <c r="B46" s="2" t="s">
        <v>35</v>
      </c>
      <c r="C46" s="23">
        <v>0.5</v>
      </c>
      <c r="D46" s="23">
        <v>0.6</v>
      </c>
      <c r="E46" s="21">
        <f t="shared" ref="E46:N46" si="25">E20*E$28/E$2</f>
        <v>0.66286678898719298</v>
      </c>
      <c r="F46" s="21">
        <f t="shared" si="25"/>
        <v>0.73719489263922477</v>
      </c>
      <c r="G46" s="21">
        <f t="shared" si="25"/>
        <v>0.80704722846525023</v>
      </c>
      <c r="H46" s="21">
        <f t="shared" si="25"/>
        <v>0.95987180799227401</v>
      </c>
      <c r="I46" s="21">
        <f t="shared" si="25"/>
        <v>1.0189805807500458</v>
      </c>
      <c r="J46" s="21">
        <f t="shared" si="25"/>
        <v>1.0909694508186483</v>
      </c>
      <c r="K46" s="21">
        <f t="shared" si="25"/>
        <v>1.1611326815774767</v>
      </c>
      <c r="L46" s="21">
        <f t="shared" si="25"/>
        <v>1.3114700344615462</v>
      </c>
      <c r="M46" s="21">
        <f t="shared" si="25"/>
        <v>1.3771203201444868</v>
      </c>
      <c r="N46" s="21">
        <f t="shared" si="25"/>
        <v>1.5211118235181837</v>
      </c>
      <c r="O46">
        <f t="shared" si="8"/>
        <v>1.6047262987648514</v>
      </c>
      <c r="P46">
        <f t="shared" si="8"/>
        <v>1.6929280498998907</v>
      </c>
      <c r="Q46">
        <f t="shared" si="8"/>
        <v>1.7859682510616564</v>
      </c>
      <c r="R46">
        <f t="shared" si="8"/>
        <v>1.8841118019509657</v>
      </c>
      <c r="S46">
        <f t="shared" si="8"/>
        <v>1.9876380763516226</v>
      </c>
      <c r="T46">
        <f t="shared" si="8"/>
        <v>2.0670287960586795</v>
      </c>
      <c r="U46">
        <f t="shared" si="8"/>
        <v>2.1495791814219585</v>
      </c>
      <c r="V46">
        <f t="shared" si="8"/>
        <v>2.235414525702498</v>
      </c>
      <c r="W46">
        <f t="shared" si="8"/>
        <v>2.3246650719635742</v>
      </c>
      <c r="X46">
        <f t="shared" si="8"/>
        <v>2.4174662078579185</v>
      </c>
      <c r="Y46">
        <f t="shared" si="8"/>
        <v>2.4923379256993652</v>
      </c>
      <c r="Z46">
        <f t="shared" si="8"/>
        <v>2.5551308356195612</v>
      </c>
      <c r="AA46">
        <f t="shared" si="8"/>
        <v>2.6076735532233815</v>
      </c>
      <c r="AB46">
        <f t="shared" si="8"/>
        <v>2.6515178826124624</v>
      </c>
      <c r="AC46">
        <f t="shared" si="8"/>
        <v>2.687980715985069</v>
      </c>
      <c r="AD46">
        <f t="shared" si="8"/>
        <v>2.7181795916148199</v>
      </c>
      <c r="AE46">
        <f t="shared" si="18"/>
        <v>2.7430628699536173</v>
      </c>
      <c r="AF46">
        <f t="shared" si="18"/>
        <v>2.7634353423670066</v>
      </c>
      <c r="AG46">
        <f t="shared" si="18"/>
        <v>2.7799799637499176</v>
      </c>
      <c r="AH46">
        <f t="shared" si="18"/>
        <v>2.7932762956621224</v>
      </c>
      <c r="AI46">
        <f t="shared" si="18"/>
        <v>2.803816157843646</v>
      </c>
      <c r="AJ46">
        <f t="shared" si="18"/>
        <v>2.8120169106255988</v>
      </c>
      <c r="AK46">
        <f t="shared" si="18"/>
        <v>2.8182327268086969</v>
      </c>
      <c r="AL46">
        <f t="shared" si="18"/>
        <v>2.822764157314932</v>
      </c>
      <c r="AM46">
        <f t="shared" si="18"/>
        <v>2.8258662488631723</v>
      </c>
    </row>
    <row r="47" spans="1:39" x14ac:dyDescent="0.2">
      <c r="A47" s="5" t="s">
        <v>25</v>
      </c>
      <c r="B47" s="2" t="s">
        <v>35</v>
      </c>
      <c r="C47" s="21">
        <v>0.5</v>
      </c>
      <c r="D47" s="21">
        <v>0.6</v>
      </c>
      <c r="E47" s="21">
        <f t="shared" ref="E47:N47" si="26">E21*E$28/E$2</f>
        <v>0.66286678898719298</v>
      </c>
      <c r="F47" s="21">
        <f t="shared" si="26"/>
        <v>0.73719489263922477</v>
      </c>
      <c r="G47" s="21">
        <f t="shared" si="26"/>
        <v>0.80704722846525023</v>
      </c>
      <c r="H47" s="21">
        <f t="shared" si="26"/>
        <v>0.87261073453843085</v>
      </c>
      <c r="I47" s="21">
        <f t="shared" si="26"/>
        <v>0.93406553235420897</v>
      </c>
      <c r="J47" s="21">
        <f t="shared" si="26"/>
        <v>1.0070487238325982</v>
      </c>
      <c r="K47" s="21">
        <f t="shared" si="26"/>
        <v>1.0781946328933714</v>
      </c>
      <c r="L47" s="21">
        <f t="shared" si="26"/>
        <v>1.1475362801538529</v>
      </c>
      <c r="M47" s="21">
        <f t="shared" si="26"/>
        <v>1.215106164833371</v>
      </c>
      <c r="N47" s="21">
        <f t="shared" si="26"/>
        <v>1.3609947894636385</v>
      </c>
      <c r="O47">
        <f t="shared" si="8"/>
        <v>1.4358077410001306</v>
      </c>
      <c r="P47">
        <f t="shared" si="8"/>
        <v>1.51472509727885</v>
      </c>
      <c r="Q47">
        <f t="shared" si="8"/>
        <v>1.5979715930551668</v>
      </c>
      <c r="R47">
        <f t="shared" si="8"/>
        <v>1.6857842438508648</v>
      </c>
      <c r="S47">
        <f t="shared" si="8"/>
        <v>1.7784130156830313</v>
      </c>
      <c r="T47">
        <f t="shared" si="8"/>
        <v>1.8494468175261873</v>
      </c>
      <c r="U47">
        <f t="shared" si="8"/>
        <v>1.9233076886407003</v>
      </c>
      <c r="V47">
        <f t="shared" si="8"/>
        <v>2.0001077335232882</v>
      </c>
      <c r="W47">
        <f t="shared" si="8"/>
        <v>2.0799634854410933</v>
      </c>
      <c r="X47">
        <f t="shared" si="8"/>
        <v>2.1629960807149806</v>
      </c>
      <c r="Y47">
        <f t="shared" si="8"/>
        <v>2.2299865650994324</v>
      </c>
      <c r="Z47">
        <f t="shared" si="8"/>
        <v>2.2861696950280295</v>
      </c>
      <c r="AA47">
        <f t="shared" si="8"/>
        <v>2.3331816002525003</v>
      </c>
      <c r="AB47">
        <f t="shared" si="8"/>
        <v>2.3724107370743091</v>
      </c>
      <c r="AC47">
        <f t="shared" si="8"/>
        <v>2.4050353774603259</v>
      </c>
      <c r="AD47">
        <f t="shared" si="8"/>
        <v>2.4320554240764185</v>
      </c>
      <c r="AE47">
        <f t="shared" si="18"/>
        <v>2.4543194099585004</v>
      </c>
      <c r="AF47">
        <f t="shared" si="18"/>
        <v>2.4725474115915334</v>
      </c>
      <c r="AG47">
        <f t="shared" si="18"/>
        <v>2.4873504938815061</v>
      </c>
      <c r="AH47">
        <f t="shared" si="18"/>
        <v>2.4992472119082159</v>
      </c>
      <c r="AI47">
        <f t="shared" si="18"/>
        <v>2.5086776149127368</v>
      </c>
      <c r="AJ47">
        <f t="shared" si="18"/>
        <v>2.5160151305597469</v>
      </c>
      <c r="AK47">
        <f t="shared" si="18"/>
        <v>2.521576650302519</v>
      </c>
      <c r="AL47">
        <f t="shared" si="18"/>
        <v>2.525631088123887</v>
      </c>
      <c r="AM47">
        <f t="shared" si="18"/>
        <v>2.5284066437196815</v>
      </c>
    </row>
    <row r="48" spans="1:39" x14ac:dyDescent="0.2">
      <c r="A48" s="2" t="s">
        <v>26</v>
      </c>
      <c r="B48" s="2" t="s">
        <v>35</v>
      </c>
      <c r="C48" s="23">
        <v>0.6</v>
      </c>
      <c r="D48" s="23">
        <v>0.6</v>
      </c>
      <c r="E48" s="21">
        <f t="shared" ref="E48:N48" si="27">E22*E$28/E$2</f>
        <v>0.66286678898719298</v>
      </c>
      <c r="F48" s="21">
        <f t="shared" si="27"/>
        <v>0.6450455310593215</v>
      </c>
      <c r="G48" s="21">
        <f t="shared" si="27"/>
        <v>0.7173753141913336</v>
      </c>
      <c r="H48" s="21">
        <f t="shared" si="27"/>
        <v>0.78534966108458781</v>
      </c>
      <c r="I48" s="21">
        <f t="shared" si="27"/>
        <v>0.76423543556253459</v>
      </c>
      <c r="J48" s="21">
        <f t="shared" si="27"/>
        <v>0.83920726986049865</v>
      </c>
      <c r="K48" s="21">
        <f t="shared" si="27"/>
        <v>0.91231853552516051</v>
      </c>
      <c r="L48" s="21">
        <f t="shared" si="27"/>
        <v>0.90163564869231316</v>
      </c>
      <c r="M48" s="21">
        <f t="shared" si="27"/>
        <v>0.97208493186669676</v>
      </c>
      <c r="N48" s="21">
        <f t="shared" si="27"/>
        <v>1.0407607213545469</v>
      </c>
      <c r="O48">
        <f t="shared" si="8"/>
        <v>1.097970625470688</v>
      </c>
      <c r="P48">
        <f t="shared" si="8"/>
        <v>1.1583191920367675</v>
      </c>
      <c r="Q48">
        <f t="shared" si="8"/>
        <v>1.2219782770421861</v>
      </c>
      <c r="R48">
        <f t="shared" si="8"/>
        <v>1.2891291276506609</v>
      </c>
      <c r="S48">
        <f t="shared" si="8"/>
        <v>1.3599628943458473</v>
      </c>
      <c r="T48">
        <f t="shared" si="8"/>
        <v>1.4142828604612017</v>
      </c>
      <c r="U48">
        <f t="shared" si="8"/>
        <v>1.4707647030781823</v>
      </c>
      <c r="V48">
        <f t="shared" si="8"/>
        <v>1.5294941491648673</v>
      </c>
      <c r="W48">
        <f t="shared" si="8"/>
        <v>1.59056031239613</v>
      </c>
      <c r="X48">
        <f t="shared" si="8"/>
        <v>1.6540558264291023</v>
      </c>
      <c r="Y48">
        <f t="shared" si="8"/>
        <v>1.7052838438995657</v>
      </c>
      <c r="Z48">
        <f t="shared" si="8"/>
        <v>1.7482474138449633</v>
      </c>
      <c r="AA48">
        <f t="shared" si="8"/>
        <v>1.7841976943107349</v>
      </c>
      <c r="AB48">
        <f t="shared" si="8"/>
        <v>1.8141964459980007</v>
      </c>
      <c r="AC48">
        <f t="shared" si="8"/>
        <v>1.839144700410837</v>
      </c>
      <c r="AD48">
        <f t="shared" si="8"/>
        <v>1.8598070889996139</v>
      </c>
      <c r="AE48">
        <f t="shared" si="18"/>
        <v>1.8768324899682645</v>
      </c>
      <c r="AF48">
        <f t="shared" si="18"/>
        <v>1.8907715500405837</v>
      </c>
      <c r="AG48">
        <f t="shared" si="18"/>
        <v>1.9020915541446808</v>
      </c>
      <c r="AH48">
        <f t="shared" si="18"/>
        <v>1.9111890444003998</v>
      </c>
      <c r="AI48">
        <f t="shared" si="18"/>
        <v>1.9184005290509158</v>
      </c>
      <c r="AJ48">
        <f t="shared" si="18"/>
        <v>1.9240115704280414</v>
      </c>
      <c r="AK48">
        <f t="shared" si="18"/>
        <v>1.9282644972901613</v>
      </c>
      <c r="AL48">
        <f t="shared" si="18"/>
        <v>1.9313649497417955</v>
      </c>
      <c r="AM48">
        <f t="shared" si="18"/>
        <v>1.9334874334326972</v>
      </c>
    </row>
    <row r="49" spans="1:39" x14ac:dyDescent="0.2">
      <c r="A49" s="5" t="s">
        <v>27</v>
      </c>
      <c r="B49" s="2" t="s">
        <v>35</v>
      </c>
      <c r="C49" s="21">
        <v>0.6</v>
      </c>
      <c r="D49" s="21">
        <v>0.7</v>
      </c>
      <c r="E49" s="21">
        <f t="shared" ref="E49:N49" si="28">E23*E$28/E$2</f>
        <v>0.66286678898719298</v>
      </c>
      <c r="F49" s="21">
        <f t="shared" si="28"/>
        <v>0.73719489263922477</v>
      </c>
      <c r="G49" s="21">
        <f t="shared" si="28"/>
        <v>0.7173753141913336</v>
      </c>
      <c r="H49" s="21">
        <f t="shared" si="28"/>
        <v>0.78534966108458781</v>
      </c>
      <c r="I49" s="21">
        <f t="shared" si="28"/>
        <v>0.76423543556253459</v>
      </c>
      <c r="J49" s="21">
        <f t="shared" si="28"/>
        <v>0.83920726986049865</v>
      </c>
      <c r="K49" s="21">
        <f t="shared" si="28"/>
        <v>0.91231853552516051</v>
      </c>
      <c r="L49" s="21">
        <f t="shared" si="28"/>
        <v>0.90163564869231316</v>
      </c>
      <c r="M49" s="21">
        <f t="shared" si="28"/>
        <v>0.97208493186669676</v>
      </c>
      <c r="N49" s="21">
        <f t="shared" si="28"/>
        <v>0.96070220432727405</v>
      </c>
      <c r="O49">
        <f t="shared" si="8"/>
        <v>1.0135113465883272</v>
      </c>
      <c r="P49">
        <f t="shared" si="8"/>
        <v>1.0692177157262468</v>
      </c>
      <c r="Q49">
        <f t="shared" si="8"/>
        <v>1.1279799480389412</v>
      </c>
      <c r="R49">
        <f t="shared" si="8"/>
        <v>1.1899653486006101</v>
      </c>
      <c r="S49">
        <f t="shared" si="8"/>
        <v>1.2553503640115513</v>
      </c>
      <c r="T49">
        <f t="shared" si="8"/>
        <v>1.3054918711949555</v>
      </c>
      <c r="U49">
        <f t="shared" si="8"/>
        <v>1.3576289566875528</v>
      </c>
      <c r="V49">
        <f t="shared" si="8"/>
        <v>1.4118407530752619</v>
      </c>
      <c r="W49">
        <f t="shared" si="8"/>
        <v>1.4682095191348894</v>
      </c>
      <c r="X49">
        <f t="shared" si="8"/>
        <v>1.5268207628576329</v>
      </c>
      <c r="Y49">
        <f t="shared" si="8"/>
        <v>1.574108163599599</v>
      </c>
      <c r="Z49">
        <f t="shared" si="8"/>
        <v>1.6137668435491968</v>
      </c>
      <c r="AA49">
        <f t="shared" si="8"/>
        <v>1.6469517178252939</v>
      </c>
      <c r="AB49">
        <f t="shared" si="8"/>
        <v>1.6746428732289238</v>
      </c>
      <c r="AC49">
        <f t="shared" si="8"/>
        <v>1.697672031148465</v>
      </c>
      <c r="AD49">
        <f t="shared" si="8"/>
        <v>1.7167450052304125</v>
      </c>
      <c r="AE49">
        <f t="shared" si="18"/>
        <v>1.7324607599707058</v>
      </c>
      <c r="AF49">
        <f t="shared" si="18"/>
        <v>1.7453275846528464</v>
      </c>
      <c r="AG49">
        <f t="shared" si="18"/>
        <v>1.7557768192104746</v>
      </c>
      <c r="AH49">
        <f t="shared" si="18"/>
        <v>1.7641745025234459</v>
      </c>
      <c r="AI49">
        <f t="shared" si="18"/>
        <v>1.7708312575854608</v>
      </c>
      <c r="AJ49">
        <f t="shared" si="18"/>
        <v>1.7760106803951152</v>
      </c>
      <c r="AK49">
        <f t="shared" si="18"/>
        <v>1.7799364590370719</v>
      </c>
      <c r="AL49">
        <f t="shared" si="18"/>
        <v>1.7827984151462728</v>
      </c>
      <c r="AM49">
        <f t="shared" si="18"/>
        <v>1.7847576308609512</v>
      </c>
    </row>
    <row r="50" spans="1:39" x14ac:dyDescent="0.2">
      <c r="A50" s="2" t="s">
        <v>28</v>
      </c>
      <c r="B50" s="2" t="s">
        <v>35</v>
      </c>
      <c r="C50" s="23">
        <v>0.5</v>
      </c>
      <c r="D50" s="23">
        <v>0.6</v>
      </c>
      <c r="E50" s="21">
        <f t="shared" ref="E50:N50" si="29">E24*E$28/E$2</f>
        <v>0.56817153341759397</v>
      </c>
      <c r="F50" s="21">
        <f t="shared" si="29"/>
        <v>0.6450455310593215</v>
      </c>
      <c r="G50" s="21">
        <f t="shared" si="29"/>
        <v>0.62770339991741686</v>
      </c>
      <c r="H50" s="21">
        <f t="shared" si="29"/>
        <v>0.69808858763074477</v>
      </c>
      <c r="I50" s="21">
        <f t="shared" si="29"/>
        <v>0.76423543556253459</v>
      </c>
      <c r="J50" s="21">
        <f t="shared" si="29"/>
        <v>0.75528654287444885</v>
      </c>
      <c r="K50" s="21">
        <f t="shared" si="29"/>
        <v>0.82938048684105492</v>
      </c>
      <c r="L50" s="21">
        <f t="shared" si="29"/>
        <v>0.90163564869231316</v>
      </c>
      <c r="M50" s="21">
        <f t="shared" si="29"/>
        <v>0.89107785421113861</v>
      </c>
      <c r="N50" s="21">
        <f t="shared" si="29"/>
        <v>0.96070220432727405</v>
      </c>
      <c r="O50">
        <f t="shared" si="8"/>
        <v>1.0135113465883272</v>
      </c>
      <c r="P50">
        <f t="shared" si="8"/>
        <v>1.0692177157262468</v>
      </c>
      <c r="Q50">
        <f t="shared" si="8"/>
        <v>1.1279799480389412</v>
      </c>
      <c r="R50">
        <f t="shared" si="8"/>
        <v>1.1899653486006101</v>
      </c>
      <c r="S50">
        <f t="shared" si="8"/>
        <v>1.2553503640115513</v>
      </c>
      <c r="T50">
        <f t="shared" si="8"/>
        <v>1.3054918711949555</v>
      </c>
      <c r="U50">
        <f t="shared" si="8"/>
        <v>1.3576289566875528</v>
      </c>
      <c r="V50">
        <f t="shared" si="8"/>
        <v>1.4118407530752619</v>
      </c>
      <c r="W50">
        <f t="shared" si="8"/>
        <v>1.4682095191348894</v>
      </c>
      <c r="X50">
        <f t="shared" si="8"/>
        <v>1.5268207628576329</v>
      </c>
      <c r="Y50">
        <f t="shared" si="8"/>
        <v>1.574108163599599</v>
      </c>
      <c r="Z50">
        <f t="shared" si="8"/>
        <v>1.6137668435491968</v>
      </c>
      <c r="AA50">
        <f t="shared" si="8"/>
        <v>1.6469517178252939</v>
      </c>
      <c r="AB50">
        <f t="shared" si="8"/>
        <v>1.6746428732289238</v>
      </c>
      <c r="AC50">
        <f t="shared" si="8"/>
        <v>1.697672031148465</v>
      </c>
      <c r="AD50">
        <f t="shared" si="8"/>
        <v>1.7167450052304125</v>
      </c>
      <c r="AE50">
        <f t="shared" si="18"/>
        <v>1.7324607599707058</v>
      </c>
      <c r="AF50">
        <f t="shared" si="18"/>
        <v>1.7453275846528464</v>
      </c>
      <c r="AG50">
        <f t="shared" si="18"/>
        <v>1.7557768192104746</v>
      </c>
      <c r="AH50">
        <f t="shared" si="18"/>
        <v>1.7641745025234459</v>
      </c>
      <c r="AI50">
        <f t="shared" si="18"/>
        <v>1.7708312575854608</v>
      </c>
      <c r="AJ50">
        <f t="shared" si="18"/>
        <v>1.7760106803951152</v>
      </c>
      <c r="AK50">
        <f t="shared" si="18"/>
        <v>1.7799364590370719</v>
      </c>
      <c r="AL50">
        <f t="shared" si="18"/>
        <v>1.7827984151462728</v>
      </c>
      <c r="AM50">
        <f t="shared" si="18"/>
        <v>1.7847576308609512</v>
      </c>
    </row>
    <row r="51" spans="1:39" x14ac:dyDescent="0.2">
      <c r="A51" s="5" t="s">
        <v>29</v>
      </c>
      <c r="B51" s="2" t="s">
        <v>35</v>
      </c>
      <c r="C51" s="21">
        <v>0.4</v>
      </c>
      <c r="D51" s="21">
        <v>0.5</v>
      </c>
      <c r="E51" s="21">
        <f t="shared" ref="E51:N51" si="30">E25*E$28/E$2</f>
        <v>0.47347627784799501</v>
      </c>
      <c r="F51" s="21">
        <f t="shared" si="30"/>
        <v>0.46074680789951544</v>
      </c>
      <c r="G51" s="21">
        <f t="shared" si="30"/>
        <v>0.53803148564350012</v>
      </c>
      <c r="H51" s="21">
        <f t="shared" si="30"/>
        <v>0.52356644072305847</v>
      </c>
      <c r="I51" s="21">
        <f t="shared" si="30"/>
        <v>0.5944053387708601</v>
      </c>
      <c r="J51" s="21">
        <f t="shared" si="30"/>
        <v>0.58744508890234903</v>
      </c>
      <c r="K51" s="21">
        <f t="shared" si="30"/>
        <v>0.66350438947284396</v>
      </c>
      <c r="L51" s="21">
        <f t="shared" si="30"/>
        <v>0.6557350172307731</v>
      </c>
      <c r="M51" s="21">
        <f t="shared" si="30"/>
        <v>0.72906369890002254</v>
      </c>
      <c r="N51" s="21">
        <f t="shared" si="30"/>
        <v>0.72052665324545562</v>
      </c>
      <c r="O51">
        <f t="shared" si="8"/>
        <v>0.76013350994124551</v>
      </c>
      <c r="P51">
        <f t="shared" si="8"/>
        <v>0.80191328679468521</v>
      </c>
      <c r="Q51">
        <f t="shared" si="8"/>
        <v>0.84598496102920584</v>
      </c>
      <c r="R51">
        <f t="shared" si="8"/>
        <v>0.89247401145045768</v>
      </c>
      <c r="S51">
        <f t="shared" si="8"/>
        <v>0.94151277300866365</v>
      </c>
      <c r="T51">
        <f t="shared" si="8"/>
        <v>0.97911890339621666</v>
      </c>
      <c r="U51">
        <f t="shared" si="8"/>
        <v>1.0182217175156647</v>
      </c>
      <c r="V51">
        <f t="shared" si="8"/>
        <v>1.0588805648064468</v>
      </c>
      <c r="W51">
        <f t="shared" si="8"/>
        <v>1.101157139351167</v>
      </c>
      <c r="X51">
        <f t="shared" si="8"/>
        <v>1.1451155721432249</v>
      </c>
      <c r="Y51">
        <f t="shared" si="8"/>
        <v>1.1805811226996994</v>
      </c>
      <c r="Z51">
        <f t="shared" si="8"/>
        <v>1.2103251326618978</v>
      </c>
      <c r="AA51">
        <f t="shared" si="8"/>
        <v>1.2352137883689704</v>
      </c>
      <c r="AB51">
        <f t="shared" si="8"/>
        <v>1.255982154921693</v>
      </c>
      <c r="AC51">
        <f t="shared" si="8"/>
        <v>1.273254023361349</v>
      </c>
      <c r="AD51">
        <f t="shared" si="8"/>
        <v>1.2875587539228097</v>
      </c>
      <c r="AE51">
        <f t="shared" si="18"/>
        <v>1.2993455699780294</v>
      </c>
      <c r="AF51">
        <f t="shared" si="18"/>
        <v>1.3089956884896352</v>
      </c>
      <c r="AG51">
        <f t="shared" si="18"/>
        <v>1.3168326144078562</v>
      </c>
      <c r="AH51">
        <f t="shared" si="18"/>
        <v>1.3231308768925845</v>
      </c>
      <c r="AI51">
        <f t="shared" si="18"/>
        <v>1.3281234431890958</v>
      </c>
      <c r="AJ51">
        <f t="shared" si="18"/>
        <v>1.3320080102963365</v>
      </c>
      <c r="AK51">
        <f t="shared" si="18"/>
        <v>1.3349523442778042</v>
      </c>
      <c r="AL51">
        <f t="shared" si="18"/>
        <v>1.3370988113597047</v>
      </c>
      <c r="AM51">
        <f t="shared" si="18"/>
        <v>1.3385682231457137</v>
      </c>
    </row>
    <row r="52" spans="1:39" x14ac:dyDescent="0.2">
      <c r="A52" s="2" t="s">
        <v>30</v>
      </c>
      <c r="B52" s="2" t="s">
        <v>35</v>
      </c>
      <c r="C52" s="23">
        <v>0.3</v>
      </c>
      <c r="D52" s="23">
        <v>0.4</v>
      </c>
      <c r="E52" s="21">
        <f t="shared" si="9"/>
        <v>0.37878102227839605</v>
      </c>
      <c r="F52" s="21">
        <f t="shared" si="9"/>
        <v>0.46074680789951544</v>
      </c>
      <c r="G52" s="21">
        <f t="shared" si="9"/>
        <v>0.44835957136958349</v>
      </c>
      <c r="H52" s="21">
        <f t="shared" si="9"/>
        <v>0.43630536726921543</v>
      </c>
      <c r="I52" s="21">
        <f t="shared" si="9"/>
        <v>0.50949029037502291</v>
      </c>
      <c r="J52" s="21">
        <f t="shared" si="9"/>
        <v>0.50352436191629912</v>
      </c>
      <c r="K52" s="21">
        <f t="shared" si="9"/>
        <v>0.58056634078873837</v>
      </c>
      <c r="L52" s="21">
        <f t="shared" si="9"/>
        <v>0.57376814007692645</v>
      </c>
      <c r="M52" s="21">
        <f t="shared" si="9"/>
        <v>0.6480566212444645</v>
      </c>
      <c r="N52" s="21">
        <f t="shared" si="9"/>
        <v>0.64046813621818288</v>
      </c>
      <c r="O52">
        <f t="shared" si="8"/>
        <v>0.67567423105888502</v>
      </c>
      <c r="P52">
        <f t="shared" si="8"/>
        <v>0.71281181048416487</v>
      </c>
      <c r="Q52">
        <f t="shared" si="8"/>
        <v>0.75198663202596094</v>
      </c>
      <c r="R52">
        <f t="shared" si="8"/>
        <v>0.79331023240040688</v>
      </c>
      <c r="S52">
        <f t="shared" si="8"/>
        <v>0.8369002426743678</v>
      </c>
      <c r="T52">
        <f t="shared" si="8"/>
        <v>0.87032791412997057</v>
      </c>
      <c r="U52">
        <f t="shared" si="8"/>
        <v>0.90508597112503542</v>
      </c>
      <c r="V52">
        <f t="shared" si="8"/>
        <v>0.94122716871684164</v>
      </c>
      <c r="W52">
        <f t="shared" si="8"/>
        <v>0.97880634608992645</v>
      </c>
      <c r="X52">
        <f t="shared" si="8"/>
        <v>1.0178805085717557</v>
      </c>
      <c r="Y52">
        <f t="shared" si="8"/>
        <v>1.049405442399733</v>
      </c>
      <c r="Z52">
        <f t="shared" si="8"/>
        <v>1.0758445623661315</v>
      </c>
      <c r="AA52">
        <f t="shared" si="8"/>
        <v>1.0979678118835294</v>
      </c>
      <c r="AB52">
        <f t="shared" si="8"/>
        <v>1.1164285821526161</v>
      </c>
      <c r="AC52">
        <f t="shared" si="8"/>
        <v>1.131781354098977</v>
      </c>
      <c r="AD52">
        <f t="shared" si="8"/>
        <v>1.144496670153609</v>
      </c>
      <c r="AE52">
        <f t="shared" si="18"/>
        <v>1.1549738399804708</v>
      </c>
      <c r="AF52">
        <f t="shared" si="18"/>
        <v>1.1635517231018981</v>
      </c>
      <c r="AG52">
        <f t="shared" si="18"/>
        <v>1.1705178794736502</v>
      </c>
      <c r="AH52">
        <f t="shared" si="18"/>
        <v>1.176116335015631</v>
      </c>
      <c r="AI52">
        <f t="shared" si="18"/>
        <v>1.1805541717236407</v>
      </c>
      <c r="AJ52">
        <f t="shared" si="18"/>
        <v>1.1840071202634104</v>
      </c>
      <c r="AK52">
        <f t="shared" si="18"/>
        <v>1.1866243060247148</v>
      </c>
      <c r="AL52">
        <f t="shared" si="18"/>
        <v>1.1885322767641822</v>
      </c>
      <c r="AM52">
        <f t="shared" si="18"/>
        <v>1.1898384205739678</v>
      </c>
    </row>
    <row r="53" spans="1:39" s="12" customFormat="1" x14ac:dyDescent="0.2">
      <c r="A53" s="11" t="s">
        <v>33</v>
      </c>
      <c r="B53" s="2" t="s">
        <v>35</v>
      </c>
      <c r="C53" s="20">
        <v>9.9999999999999992E-2</v>
      </c>
      <c r="D53" s="20">
        <v>0.10454545454545454</v>
      </c>
      <c r="E53" s="21">
        <f t="shared" si="9"/>
        <v>0.12052123436130781</v>
      </c>
      <c r="F53" s="21">
        <f t="shared" si="9"/>
        <v>0.12984682768077252</v>
      </c>
      <c r="G53" s="21">
        <f t="shared" si="9"/>
        <v>0.1385838675142349</v>
      </c>
      <c r="H53" s="21">
        <f t="shared" si="9"/>
        <v>0.14675725989964516</v>
      </c>
      <c r="I53" s="21">
        <f t="shared" si="9"/>
        <v>0.15439099708334031</v>
      </c>
      <c r="J53" s="21">
        <f t="shared" si="9"/>
        <v>0.16402687547273381</v>
      </c>
      <c r="K53" s="21">
        <f t="shared" si="9"/>
        <v>0.17341591997585692</v>
      </c>
      <c r="L53" s="21">
        <f t="shared" si="9"/>
        <v>0.18256259002447658</v>
      </c>
      <c r="M53" s="21">
        <f t="shared" si="9"/>
        <v>0.19147127445859174</v>
      </c>
      <c r="N53" s="21">
        <f t="shared" si="9"/>
        <v>0.20014629256818212</v>
      </c>
      <c r="O53">
        <f t="shared" si="8"/>
        <v>0.21114819720590156</v>
      </c>
      <c r="P53">
        <f t="shared" si="8"/>
        <v>0.22275369077630147</v>
      </c>
      <c r="Q53">
        <f t="shared" si="8"/>
        <v>0.23499582250811274</v>
      </c>
      <c r="R53">
        <f t="shared" si="8"/>
        <v>0.24790944762512715</v>
      </c>
      <c r="S53">
        <f t="shared" si="8"/>
        <v>0.2615313258357399</v>
      </c>
      <c r="T53">
        <f t="shared" si="8"/>
        <v>0.27197747316561577</v>
      </c>
      <c r="U53">
        <f t="shared" si="8"/>
        <v>0.28283936597657355</v>
      </c>
      <c r="V53">
        <f t="shared" si="8"/>
        <v>0.29413349022401297</v>
      </c>
      <c r="W53">
        <f t="shared" si="8"/>
        <v>0.30587698315310197</v>
      </c>
      <c r="X53">
        <f t="shared" si="8"/>
        <v>0.31808765892867358</v>
      </c>
      <c r="Y53">
        <f t="shared" si="8"/>
        <v>0.32793920074991656</v>
      </c>
      <c r="Z53">
        <f t="shared" si="8"/>
        <v>0.33620142573941603</v>
      </c>
      <c r="AA53">
        <f t="shared" si="8"/>
        <v>0.34311494121360292</v>
      </c>
      <c r="AB53">
        <f t="shared" si="8"/>
        <v>0.34888393192269246</v>
      </c>
      <c r="AC53">
        <f t="shared" si="8"/>
        <v>0.35368167315593024</v>
      </c>
      <c r="AD53">
        <f t="shared" si="8"/>
        <v>0.35765520942300266</v>
      </c>
      <c r="AE53">
        <f t="shared" si="18"/>
        <v>0.36092932499389707</v>
      </c>
      <c r="AF53">
        <f t="shared" si="18"/>
        <v>0.36360991346934307</v>
      </c>
      <c r="AG53">
        <f t="shared" si="18"/>
        <v>0.36578683733551559</v>
      </c>
      <c r="AH53">
        <f t="shared" si="18"/>
        <v>0.36753635469238466</v>
      </c>
      <c r="AI53">
        <f t="shared" si="18"/>
        <v>0.36892317866363772</v>
      </c>
      <c r="AJ53">
        <f t="shared" si="18"/>
        <v>0.37000222508231573</v>
      </c>
      <c r="AK53">
        <f t="shared" si="18"/>
        <v>0.37082009563272339</v>
      </c>
      <c r="AL53">
        <f t="shared" si="18"/>
        <v>0.3714163364888069</v>
      </c>
      <c r="AM53">
        <f t="shared" si="18"/>
        <v>0.37182450642936493</v>
      </c>
    </row>
    <row r="54" spans="1:39" s="19" customFormat="1" x14ac:dyDescent="0.2">
      <c r="A54" s="18" t="s">
        <v>4</v>
      </c>
      <c r="B54" s="18" t="s">
        <v>36</v>
      </c>
      <c r="C54" s="22">
        <f>'input_EnBW Model 2026'!C4</f>
        <v>20.028513599999997</v>
      </c>
      <c r="D54" s="22">
        <f>'input_EnBW Model 2026'!D4</f>
        <v>21.762956057142855</v>
      </c>
      <c r="E54" s="22">
        <f>'input_EnBW Model 2026'!E4</f>
        <v>23.639350163297141</v>
      </c>
      <c r="F54" s="22">
        <f>'input_EnBW Model 2026'!F4</f>
        <v>25.668229511687656</v>
      </c>
      <c r="G54" s="22">
        <f>'input_EnBW Model 2026'!G4</f>
        <v>27.860758560563404</v>
      </c>
      <c r="H54" s="22">
        <f>'input_EnBW Model 2026'!H4</f>
        <v>30.228747283862013</v>
      </c>
      <c r="I54" s="22">
        <f>'input_EnBW Model 2026'!I4</f>
        <v>32.784661764923577</v>
      </c>
      <c r="J54" s="22">
        <f>'input_EnBW Model 2026'!J4</f>
        <v>35.02927316666014</v>
      </c>
      <c r="K54" s="22">
        <f>'input_EnBW Model 2026'!K4</f>
        <v>37.425214794509621</v>
      </c>
      <c r="L54" s="22">
        <f>'input_EnBW Model 2026'!L4</f>
        <v>39.982489161125187</v>
      </c>
      <c r="M54" s="22">
        <f>'input_EnBW Model 2026'!M4</f>
        <v>42.711742592376446</v>
      </c>
      <c r="N54" s="22">
        <f>'input_EnBW Model 2026'!N4</f>
        <v>45.624305135361212</v>
      </c>
      <c r="O54" s="19">
        <f>'input_EnBW Model 2026'!O4</f>
        <v>48.928733739896458</v>
      </c>
      <c r="P54" s="19">
        <f>'input_EnBW Model 2026'!P4</f>
        <v>52.471509601465954</v>
      </c>
      <c r="Q54" s="19">
        <f>'input_EnBW Model 2026'!Q4</f>
        <v>56.269746373929827</v>
      </c>
      <c r="R54" s="19">
        <f>'input_EnBW Model 2026'!R4</f>
        <v>60.341780229121881</v>
      </c>
      <c r="S54" s="19">
        <f>'input_EnBW Model 2026'!S4</f>
        <v>64.707256683233723</v>
      </c>
      <c r="T54" s="19">
        <f>'input_EnBW Model 2026'!T4</f>
        <v>67.450835915042774</v>
      </c>
      <c r="U54" s="19">
        <f>'input_EnBW Model 2026'!U4</f>
        <v>70.309382151444012</v>
      </c>
      <c r="V54" s="19">
        <f>'input_EnBW Model 2026'!V4</f>
        <v>73.287645142989405</v>
      </c>
      <c r="W54" s="19">
        <f>'input_EnBW Model 2026'!W4</f>
        <v>76.390567440660021</v>
      </c>
      <c r="X54" s="19">
        <f>'input_EnBW Model 2026'!X4</f>
        <v>79.623292045557704</v>
      </c>
      <c r="Y54" s="19">
        <f>'input_EnBW Model 2026'!Y4</f>
        <v>82.125536542172014</v>
      </c>
      <c r="Z54" s="19">
        <f>'input_EnBW Model 2026'!Z4</f>
        <v>84.124299914334571</v>
      </c>
      <c r="AA54" s="19">
        <f>'input_EnBW Model 2026'!AA4</f>
        <v>85.706847085247873</v>
      </c>
      <c r="AB54" s="19">
        <f>'input_EnBW Model 2026'!AB4</f>
        <v>86.945323508722183</v>
      </c>
      <c r="AC54" s="19">
        <f>'input_EnBW Model 2026'!AC4</f>
        <v>87.89937383248845</v>
      </c>
      <c r="AD54" s="19">
        <f>'input_EnBW Model 2026'!AD4</f>
        <v>88.618307168650034</v>
      </c>
      <c r="AE54" s="19">
        <f>'input_EnBW Model 2026'!AE4</f>
        <v>89.142887445476731</v>
      </c>
      <c r="AF54" s="19">
        <f>'input_EnBW Model 2026'!AF4</f>
        <v>89.506813736568375</v>
      </c>
      <c r="AG54" s="19">
        <f>'input_EnBW Model 2026'!AG4</f>
        <v>89.73794423391567</v>
      </c>
      <c r="AH54" s="19">
        <f>'input_EnBW Model 2026'!AH4</f>
        <v>89.859308244420163</v>
      </c>
      <c r="AI54" s="19">
        <f>'input_EnBW Model 2026'!AI4</f>
        <v>89.889942909076126</v>
      </c>
      <c r="AJ54" s="19">
        <f>'input_EnBW Model 2026'!AJ4</f>
        <v>89.845584992409513</v>
      </c>
      <c r="AK54" s="19">
        <f>'input_EnBW Model 2026'!AK4</f>
        <v>89.739242837102523</v>
      </c>
      <c r="AL54" s="19">
        <f>'input_EnBW Model 2026'!AL4</f>
        <v>89.58166923492557</v>
      </c>
      <c r="AM54" s="19">
        <f>'input_EnBW Model 2026'!AM4</f>
        <v>89.381752372943893</v>
      </c>
    </row>
    <row r="55" spans="1:39" x14ac:dyDescent="0.2">
      <c r="A55" s="5" t="s">
        <v>5</v>
      </c>
      <c r="B55" s="2" t="s">
        <v>36</v>
      </c>
      <c r="C55" s="21">
        <v>11</v>
      </c>
      <c r="D55" s="21">
        <v>12.2</v>
      </c>
      <c r="E55" s="21">
        <f>E3*E$54/E$2</f>
        <v>13.568037723051262</v>
      </c>
      <c r="F55" s="21">
        <f t="shared" ref="F55:N55" si="31">F3*F$54/F$2</f>
        <v>14.98341808819886</v>
      </c>
      <c r="G55" s="21">
        <f t="shared" si="31"/>
        <v>16.524503512088746</v>
      </c>
      <c r="H55" s="21">
        <f t="shared" si="31"/>
        <v>18.091990808597721</v>
      </c>
      <c r="I55" s="21">
        <f t="shared" si="31"/>
        <v>19.792218843557372</v>
      </c>
      <c r="J55" s="21">
        <f t="shared" si="31"/>
        <v>21.44229741691808</v>
      </c>
      <c r="K55" s="21">
        <f t="shared" si="31"/>
        <v>23.209741517847661</v>
      </c>
      <c r="L55" s="21">
        <f t="shared" si="31"/>
        <v>24.990252537023519</v>
      </c>
      <c r="M55" s="21">
        <f t="shared" si="31"/>
        <v>26.677828848522143</v>
      </c>
      <c r="N55" s="21">
        <f t="shared" si="31"/>
        <v>28.483635740467079</v>
      </c>
      <c r="O55">
        <f>$N55*O$54/$N$54</f>
        <v>30.546618188587967</v>
      </c>
      <c r="P55">
        <f t="shared" ref="P55:AE58" si="32">$N55*P$54/$N$54</f>
        <v>32.758402825124897</v>
      </c>
      <c r="Q55">
        <f t="shared" si="32"/>
        <v>35.129673847487432</v>
      </c>
      <c r="R55">
        <f t="shared" si="32"/>
        <v>37.671878681293109</v>
      </c>
      <c r="S55">
        <f t="shared" si="32"/>
        <v>40.397282186806095</v>
      </c>
      <c r="T55">
        <f t="shared" si="32"/>
        <v>42.110121675146956</v>
      </c>
      <c r="U55">
        <f t="shared" si="32"/>
        <v>43.89473602715448</v>
      </c>
      <c r="V55">
        <f t="shared" si="32"/>
        <v>45.754090551871251</v>
      </c>
      <c r="W55">
        <f t="shared" si="32"/>
        <v>47.691270925262231</v>
      </c>
      <c r="X55">
        <f t="shared" si="32"/>
        <v>49.709487965981268</v>
      </c>
      <c r="Y55">
        <f t="shared" si="32"/>
        <v>51.271660158274237</v>
      </c>
      <c r="Z55">
        <f t="shared" si="32"/>
        <v>52.519504868569676</v>
      </c>
      <c r="AA55">
        <f t="shared" si="32"/>
        <v>53.50750231915363</v>
      </c>
      <c r="AB55">
        <f t="shared" si="32"/>
        <v>54.280693520964569</v>
      </c>
      <c r="AC55">
        <f t="shared" si="32"/>
        <v>54.876315127027581</v>
      </c>
      <c r="AD55">
        <f t="shared" si="32"/>
        <v>55.32515122892876</v>
      </c>
      <c r="AE55">
        <f t="shared" si="32"/>
        <v>55.652651088432023</v>
      </c>
      <c r="AF55">
        <f t="shared" ref="R55:AM58" si="33">$N55*AF$54/$N$54</f>
        <v>55.879853319371854</v>
      </c>
      <c r="AG55">
        <f t="shared" si="33"/>
        <v>56.024150024284324</v>
      </c>
      <c r="AH55">
        <f t="shared" si="33"/>
        <v>56.099918592308669</v>
      </c>
      <c r="AI55">
        <f t="shared" si="33"/>
        <v>56.119044069979026</v>
      </c>
      <c r="AJ55">
        <f t="shared" si="33"/>
        <v>56.091351051163961</v>
      </c>
      <c r="AK55">
        <f t="shared" si="33"/>
        <v>56.024960753127992</v>
      </c>
      <c r="AL55">
        <f t="shared" si="33"/>
        <v>55.926586233814092</v>
      </c>
      <c r="AM55">
        <f t="shared" si="33"/>
        <v>55.801776462834162</v>
      </c>
    </row>
    <row r="56" spans="1:39" x14ac:dyDescent="0.2">
      <c r="A56" s="5" t="s">
        <v>7</v>
      </c>
      <c r="B56" s="2" t="s">
        <v>36</v>
      </c>
      <c r="C56" s="21">
        <v>3.9</v>
      </c>
      <c r="D56" s="21">
        <v>4.9000000000000004</v>
      </c>
      <c r="E56" s="21">
        <f t="shared" ref="E56:N56" si="34">E4*E$54/E$2</f>
        <v>6.0752407715154897</v>
      </c>
      <c r="F56" s="21">
        <f t="shared" si="34"/>
        <v>7.2368890085858428</v>
      </c>
      <c r="G56" s="21">
        <f t="shared" si="34"/>
        <v>8.4162067577097943</v>
      </c>
      <c r="H56" s="21">
        <f t="shared" si="34"/>
        <v>9.7179836343324908</v>
      </c>
      <c r="I56" s="21">
        <f t="shared" si="34"/>
        <v>11.041974723247796</v>
      </c>
      <c r="J56" s="21">
        <f t="shared" si="34"/>
        <v>12.446992159089032</v>
      </c>
      <c r="K56" s="21">
        <f t="shared" si="34"/>
        <v>13.757810582977571</v>
      </c>
      <c r="L56" s="21">
        <f t="shared" si="34"/>
        <v>15.07850680503951</v>
      </c>
      <c r="M56" s="21">
        <f t="shared" si="34"/>
        <v>16.408982029844971</v>
      </c>
      <c r="N56" s="21">
        <f t="shared" si="34"/>
        <v>17.749131226335827</v>
      </c>
      <c r="O56">
        <f t="shared" ref="O56:AD79" si="35">$N56*O$54/$N$54</f>
        <v>19.034646408560409</v>
      </c>
      <c r="P56">
        <f t="shared" si="32"/>
        <v>20.412885342521854</v>
      </c>
      <c r="Q56">
        <f t="shared" si="32"/>
        <v>21.890505718397019</v>
      </c>
      <c r="R56">
        <f t="shared" si="33"/>
        <v>23.474640820059509</v>
      </c>
      <c r="S56">
        <f t="shared" si="33"/>
        <v>25.172933302972453</v>
      </c>
      <c r="T56">
        <f t="shared" si="33"/>
        <v>26.240262387125153</v>
      </c>
      <c r="U56">
        <f t="shared" si="33"/>
        <v>27.352316852741779</v>
      </c>
      <c r="V56">
        <f t="shared" si="33"/>
        <v>28.510944485680966</v>
      </c>
      <c r="W56">
        <f t="shared" si="33"/>
        <v>29.718068076562659</v>
      </c>
      <c r="X56">
        <f t="shared" si="33"/>
        <v>30.975688396712204</v>
      </c>
      <c r="Y56">
        <f t="shared" si="33"/>
        <v>31.94913151653655</v>
      </c>
      <c r="Z56">
        <f t="shared" si="33"/>
        <v>32.72670639198185</v>
      </c>
      <c r="AA56">
        <f t="shared" si="33"/>
        <v>33.342361519771103</v>
      </c>
      <c r="AB56">
        <f t="shared" si="33"/>
        <v>33.82416350000404</v>
      </c>
      <c r="AC56">
        <f t="shared" si="33"/>
        <v>34.19531576945375</v>
      </c>
      <c r="AD56">
        <f t="shared" si="33"/>
        <v>34.475000952354854</v>
      </c>
      <c r="AE56">
        <f t="shared" si="33"/>
        <v>34.679077357343836</v>
      </c>
      <c r="AF56">
        <f t="shared" si="33"/>
        <v>34.820654866922013</v>
      </c>
      <c r="AG56">
        <f t="shared" si="33"/>
        <v>34.91057109722194</v>
      </c>
      <c r="AH56">
        <f t="shared" si="33"/>
        <v>34.95778509296845</v>
      </c>
      <c r="AI56">
        <f t="shared" si="33"/>
        <v>34.969702834651102</v>
      </c>
      <c r="AJ56">
        <f t="shared" si="33"/>
        <v>34.952446363971568</v>
      </c>
      <c r="AK56">
        <f t="shared" si="33"/>
        <v>34.911076290195425</v>
      </c>
      <c r="AL56">
        <f t="shared" si="33"/>
        <v>34.849775750175198</v>
      </c>
      <c r="AM56">
        <f t="shared" si="33"/>
        <v>34.772002497363069</v>
      </c>
    </row>
    <row r="57" spans="1:39" x14ac:dyDescent="0.2">
      <c r="A57" s="2" t="s">
        <v>8</v>
      </c>
      <c r="B57" s="2" t="s">
        <v>36</v>
      </c>
      <c r="C57" s="23">
        <v>2.9</v>
      </c>
      <c r="D57" s="23">
        <v>3.8</v>
      </c>
      <c r="E57" s="21">
        <f t="shared" ref="E57:N57" si="36">E5*E$54/E$2</f>
        <v>4.8601926172123919</v>
      </c>
      <c r="F57" s="21">
        <f t="shared" si="36"/>
        <v>5.9118248239151958</v>
      </c>
      <c r="G57" s="21">
        <f t="shared" si="36"/>
        <v>6.9792934088325138</v>
      </c>
      <c r="H57" s="21">
        <f t="shared" si="36"/>
        <v>8.1672415650241135</v>
      </c>
      <c r="I57" s="21">
        <f t="shared" si="36"/>
        <v>9.4794311303353727</v>
      </c>
      <c r="J57" s="21">
        <f t="shared" si="36"/>
        <v>10.668850422076313</v>
      </c>
      <c r="K57" s="21">
        <f t="shared" si="36"/>
        <v>11.972445850835445</v>
      </c>
      <c r="L57" s="21">
        <f t="shared" si="36"/>
        <v>13.285957044999845</v>
      </c>
      <c r="M57" s="21">
        <f t="shared" si="36"/>
        <v>14.503422826379101</v>
      </c>
      <c r="N57" s="21">
        <f t="shared" si="36"/>
        <v>15.836051213916397</v>
      </c>
      <c r="O57">
        <f t="shared" si="35"/>
        <v>16.983007873505994</v>
      </c>
      <c r="P57">
        <f t="shared" si="32"/>
        <v>18.212694107998544</v>
      </c>
      <c r="Q57">
        <f t="shared" si="32"/>
        <v>19.53105001222249</v>
      </c>
      <c r="R57">
        <f t="shared" si="33"/>
        <v>20.944440013106988</v>
      </c>
      <c r="S57">
        <f t="shared" si="33"/>
        <v>22.459683006843683</v>
      </c>
      <c r="T57">
        <f t="shared" si="33"/>
        <v>23.411970632824239</v>
      </c>
      <c r="U57">
        <f t="shared" si="33"/>
        <v>24.404162940470211</v>
      </c>
      <c r="V57">
        <f t="shared" si="33"/>
        <v>25.437908553092598</v>
      </c>
      <c r="W57">
        <f t="shared" si="33"/>
        <v>26.51492301441818</v>
      </c>
      <c r="X57">
        <f t="shared" si="33"/>
        <v>27.636991443773166</v>
      </c>
      <c r="Y57">
        <f t="shared" si="33"/>
        <v>28.505512550682312</v>
      </c>
      <c r="Z57">
        <f t="shared" si="33"/>
        <v>29.199276960510755</v>
      </c>
      <c r="AA57">
        <f t="shared" si="33"/>
        <v>29.748574050574216</v>
      </c>
      <c r="AB57">
        <f t="shared" si="33"/>
        <v>30.178445278446713</v>
      </c>
      <c r="AC57">
        <f t="shared" si="33"/>
        <v>30.50959311166832</v>
      </c>
      <c r="AD57">
        <f t="shared" si="33"/>
        <v>30.759132586232777</v>
      </c>
      <c r="AE57">
        <f t="shared" si="33"/>
        <v>30.941212732001382</v>
      </c>
      <c r="AF57">
        <f t="shared" si="33"/>
        <v>31.067530390247782</v>
      </c>
      <c r="AG57">
        <f t="shared" si="33"/>
        <v>31.147755050814787</v>
      </c>
      <c r="AH57">
        <f t="shared" si="33"/>
        <v>31.189880112888027</v>
      </c>
      <c r="AI57">
        <f t="shared" si="33"/>
        <v>31.200513307562964</v>
      </c>
      <c r="AJ57">
        <f t="shared" si="33"/>
        <v>31.185116815759063</v>
      </c>
      <c r="AK57">
        <f t="shared" si="33"/>
        <v>31.148205791851005</v>
      </c>
      <c r="AL57">
        <f t="shared" si="33"/>
        <v>31.093512495665298</v>
      </c>
      <c r="AM57">
        <f t="shared" si="33"/>
        <v>31.024121988665257</v>
      </c>
    </row>
    <row r="58" spans="1:39" x14ac:dyDescent="0.2">
      <c r="A58" s="5" t="s">
        <v>9</v>
      </c>
      <c r="B58" s="2" t="s">
        <v>36</v>
      </c>
      <c r="C58" s="21">
        <v>6.8</v>
      </c>
      <c r="D58" s="21">
        <v>7.5</v>
      </c>
      <c r="E58" s="21">
        <f t="shared" ref="E58:N58" si="37">E6*E$54/E$2</f>
        <v>8.2015750415459117</v>
      </c>
      <c r="F58" s="21">
        <f t="shared" si="37"/>
        <v>8.9696652500782292</v>
      </c>
      <c r="G58" s="21">
        <f t="shared" si="37"/>
        <v>9.6478467710331799</v>
      </c>
      <c r="H58" s="21">
        <f t="shared" si="37"/>
        <v>10.441663266676398</v>
      </c>
      <c r="I58" s="21">
        <f t="shared" si="37"/>
        <v>11.146144296108625</v>
      </c>
      <c r="J58" s="21">
        <f t="shared" si="37"/>
        <v>11.924009295261762</v>
      </c>
      <c r="K58" s="21">
        <f t="shared" si="37"/>
        <v>12.602574579826783</v>
      </c>
      <c r="L58" s="21">
        <f t="shared" si="37"/>
        <v>13.285957044999845</v>
      </c>
      <c r="M58" s="21">
        <f t="shared" si="37"/>
        <v>13.868236425223813</v>
      </c>
      <c r="N58" s="21">
        <f t="shared" si="37"/>
        <v>14.454382316057918</v>
      </c>
      <c r="O58">
        <f t="shared" si="35"/>
        <v>15.501268931522251</v>
      </c>
      <c r="P58">
        <f t="shared" si="32"/>
        <v>16.623667105287261</v>
      </c>
      <c r="Q58">
        <f t="shared" si="32"/>
        <v>17.826998668874218</v>
      </c>
      <c r="R58">
        <f t="shared" si="33"/>
        <v>19.117072763641278</v>
      </c>
      <c r="S58">
        <f t="shared" si="33"/>
        <v>20.500113348528465</v>
      </c>
      <c r="T58">
        <f t="shared" si="33"/>
        <v>21.369315476940244</v>
      </c>
      <c r="U58">
        <f t="shared" si="33"/>
        <v>22.274940670496299</v>
      </c>
      <c r="V58">
        <f t="shared" si="33"/>
        <v>23.218493712889885</v>
      </c>
      <c r="W58">
        <f t="shared" si="33"/>
        <v>24.201540469536056</v>
      </c>
      <c r="X58">
        <f t="shared" si="33"/>
        <v>25.225710311094968</v>
      </c>
      <c r="Y58">
        <f t="shared" si="33"/>
        <v>26.018454408676469</v>
      </c>
      <c r="Z58">
        <f t="shared" si="33"/>
        <v>26.651689037781622</v>
      </c>
      <c r="AA58">
        <f t="shared" si="33"/>
        <v>27.153060878376465</v>
      </c>
      <c r="AB58">
        <f t="shared" si="33"/>
        <v>27.545426562877534</v>
      </c>
      <c r="AC58">
        <f t="shared" si="33"/>
        <v>27.847682303267725</v>
      </c>
      <c r="AD58">
        <f t="shared" si="33"/>
        <v>28.075449877366829</v>
      </c>
      <c r="AE58">
        <f t="shared" si="33"/>
        <v>28.24164383592073</v>
      </c>
      <c r="AF58">
        <f t="shared" si="33"/>
        <v>28.356940490427505</v>
      </c>
      <c r="AG58">
        <f t="shared" si="33"/>
        <v>28.430165683965171</v>
      </c>
      <c r="AH58">
        <f t="shared" si="33"/>
        <v>28.468615405052155</v>
      </c>
      <c r="AI58">
        <f t="shared" si="33"/>
        <v>28.478320871332635</v>
      </c>
      <c r="AJ58">
        <f t="shared" si="33"/>
        <v>28.464267697605585</v>
      </c>
      <c r="AK58">
        <f t="shared" si="33"/>
        <v>28.43057709860226</v>
      </c>
      <c r="AL58">
        <f t="shared" si="33"/>
        <v>28.380655700741478</v>
      </c>
      <c r="AM58">
        <f t="shared" si="33"/>
        <v>28.317319399050167</v>
      </c>
    </row>
    <row r="59" spans="1:39" x14ac:dyDescent="0.2">
      <c r="A59" s="2" t="s">
        <v>10</v>
      </c>
      <c r="B59" s="2" t="s">
        <v>36</v>
      </c>
      <c r="C59" s="23">
        <v>8.4</v>
      </c>
      <c r="D59" s="23">
        <v>8.8000000000000007</v>
      </c>
      <c r="E59" s="21">
        <f t="shared" ref="E59:N59" si="38">E7*E$54/E$2</f>
        <v>9.4166231958490094</v>
      </c>
      <c r="F59" s="21">
        <f t="shared" si="38"/>
        <v>9.8870173779271369</v>
      </c>
      <c r="G59" s="21">
        <f t="shared" si="38"/>
        <v>10.468940113248768</v>
      </c>
      <c r="H59" s="21">
        <f t="shared" si="38"/>
        <v>11.061960094399748</v>
      </c>
      <c r="I59" s="21">
        <f t="shared" si="38"/>
        <v>11.666992160412764</v>
      </c>
      <c r="J59" s="21">
        <f t="shared" si="38"/>
        <v>12.237799013558122</v>
      </c>
      <c r="K59" s="21">
        <f t="shared" si="38"/>
        <v>12.812617489490563</v>
      </c>
      <c r="L59" s="21">
        <f t="shared" si="38"/>
        <v>13.391401148531591</v>
      </c>
      <c r="M59" s="21">
        <f t="shared" si="38"/>
        <v>13.868236425223813</v>
      </c>
      <c r="N59" s="21">
        <f t="shared" si="38"/>
        <v>14.454382316057918</v>
      </c>
      <c r="O59">
        <f t="shared" si="35"/>
        <v>15.501268931522251</v>
      </c>
      <c r="P59">
        <f t="shared" si="35"/>
        <v>16.623667105287261</v>
      </c>
      <c r="Q59">
        <f t="shared" si="35"/>
        <v>17.826998668874218</v>
      </c>
      <c r="R59">
        <f t="shared" si="35"/>
        <v>19.117072763641278</v>
      </c>
      <c r="S59">
        <f t="shared" si="35"/>
        <v>20.500113348528465</v>
      </c>
      <c r="T59">
        <f t="shared" si="35"/>
        <v>21.369315476940244</v>
      </c>
      <c r="U59">
        <f t="shared" si="35"/>
        <v>22.274940670496299</v>
      </c>
      <c r="V59">
        <f t="shared" si="35"/>
        <v>23.218493712889885</v>
      </c>
      <c r="W59">
        <f t="shared" si="35"/>
        <v>24.201540469536056</v>
      </c>
      <c r="X59">
        <f t="shared" si="35"/>
        <v>25.225710311094968</v>
      </c>
      <c r="Y59">
        <f t="shared" si="35"/>
        <v>26.018454408676469</v>
      </c>
      <c r="Z59">
        <f t="shared" si="35"/>
        <v>26.651689037781622</v>
      </c>
      <c r="AA59">
        <f t="shared" si="35"/>
        <v>27.153060878376465</v>
      </c>
      <c r="AB59">
        <f t="shared" si="35"/>
        <v>27.545426562877534</v>
      </c>
      <c r="AC59">
        <f t="shared" si="35"/>
        <v>27.847682303267725</v>
      </c>
      <c r="AD59">
        <f t="shared" si="35"/>
        <v>28.075449877366829</v>
      </c>
      <c r="AE59">
        <f t="shared" ref="P59:AM70" si="39">$N59*AE$54/$N$54</f>
        <v>28.24164383592073</v>
      </c>
      <c r="AF59">
        <f t="shared" si="39"/>
        <v>28.356940490427505</v>
      </c>
      <c r="AG59">
        <f t="shared" si="39"/>
        <v>28.430165683965171</v>
      </c>
      <c r="AH59">
        <f t="shared" si="39"/>
        <v>28.468615405052155</v>
      </c>
      <c r="AI59">
        <f t="shared" si="39"/>
        <v>28.478320871332635</v>
      </c>
      <c r="AJ59">
        <f t="shared" si="39"/>
        <v>28.464267697605585</v>
      </c>
      <c r="AK59">
        <f t="shared" si="39"/>
        <v>28.43057709860226</v>
      </c>
      <c r="AL59">
        <f t="shared" si="39"/>
        <v>28.380655700741478</v>
      </c>
      <c r="AM59">
        <f t="shared" si="39"/>
        <v>28.317319399050167</v>
      </c>
    </row>
    <row r="60" spans="1:39" x14ac:dyDescent="0.2">
      <c r="A60" s="5" t="s">
        <v>11</v>
      </c>
      <c r="B60" s="2" t="s">
        <v>36</v>
      </c>
      <c r="C60" s="21">
        <v>5.3</v>
      </c>
      <c r="D60" s="21">
        <v>5.8</v>
      </c>
      <c r="E60" s="21">
        <f t="shared" ref="E60:N60" si="40">E8*E$54/E$2</f>
        <v>6.4802568229498556</v>
      </c>
      <c r="F60" s="21">
        <f t="shared" si="40"/>
        <v>7.1349609943804095</v>
      </c>
      <c r="G60" s="21">
        <f t="shared" si="40"/>
        <v>7.8003867510481033</v>
      </c>
      <c r="H60" s="21">
        <f t="shared" si="40"/>
        <v>8.5807727835063474</v>
      </c>
      <c r="I60" s="21">
        <f t="shared" si="40"/>
        <v>9.4794311303353727</v>
      </c>
      <c r="J60" s="21">
        <f t="shared" si="40"/>
        <v>10.250464131014496</v>
      </c>
      <c r="K60" s="21">
        <f t="shared" si="40"/>
        <v>11.132274212180326</v>
      </c>
      <c r="L60" s="21">
        <f t="shared" si="40"/>
        <v>11.915183699087164</v>
      </c>
      <c r="M60" s="21">
        <f t="shared" si="40"/>
        <v>12.809592423298332</v>
      </c>
      <c r="N60" s="21">
        <f t="shared" si="40"/>
        <v>13.710406755672585</v>
      </c>
      <c r="O60">
        <f t="shared" si="35"/>
        <v>14.703409501223311</v>
      </c>
      <c r="P60">
        <f t="shared" si="39"/>
        <v>15.768037180750415</v>
      </c>
      <c r="Q60">
        <f t="shared" si="39"/>
        <v>16.909432560917459</v>
      </c>
      <c r="R60">
        <f t="shared" si="39"/>
        <v>18.133105783159742</v>
      </c>
      <c r="S60">
        <f t="shared" si="39"/>
        <v>19.444960455589499</v>
      </c>
      <c r="T60">
        <f t="shared" si="39"/>
        <v>20.269424239156557</v>
      </c>
      <c r="U60">
        <f t="shared" si="39"/>
        <v>21.128436371279577</v>
      </c>
      <c r="V60">
        <f t="shared" si="39"/>
        <v>22.023424183549967</v>
      </c>
      <c r="W60">
        <f t="shared" si="39"/>
        <v>22.955872945368757</v>
      </c>
      <c r="X60">
        <f t="shared" si="39"/>
        <v>23.92732816272979</v>
      </c>
      <c r="Y60">
        <f t="shared" si="39"/>
        <v>24.679269255288713</v>
      </c>
      <c r="Z60">
        <f t="shared" si="39"/>
        <v>25.279910925542868</v>
      </c>
      <c r="AA60">
        <f t="shared" si="39"/>
        <v>25.755476862577677</v>
      </c>
      <c r="AB60">
        <f t="shared" si="39"/>
        <v>26.127647254494136</v>
      </c>
      <c r="AC60">
        <f t="shared" si="39"/>
        <v>26.414345714128949</v>
      </c>
      <c r="AD60">
        <f t="shared" si="39"/>
        <v>26.630389957208241</v>
      </c>
      <c r="AE60">
        <f t="shared" si="39"/>
        <v>26.788029814954221</v>
      </c>
      <c r="AF60">
        <f t="shared" si="39"/>
        <v>26.897392082831974</v>
      </c>
      <c r="AG60">
        <f t="shared" si="39"/>
        <v>26.966848332584611</v>
      </c>
      <c r="AH60">
        <f t="shared" si="39"/>
        <v>27.003319023909764</v>
      </c>
      <c r="AI60">
        <f t="shared" si="39"/>
        <v>27.012524944131687</v>
      </c>
      <c r="AJ60">
        <f t="shared" si="39"/>
        <v>26.99919509552295</v>
      </c>
      <c r="AK60">
        <f t="shared" si="39"/>
        <v>26.967238571468322</v>
      </c>
      <c r="AL60">
        <f t="shared" si="39"/>
        <v>26.919886657320962</v>
      </c>
      <c r="AM60">
        <f t="shared" si="39"/>
        <v>26.85981031233435</v>
      </c>
    </row>
    <row r="61" spans="1:39" x14ac:dyDescent="0.2">
      <c r="A61" s="2" t="s">
        <v>12</v>
      </c>
      <c r="B61" s="2" t="s">
        <v>36</v>
      </c>
      <c r="C61" s="23">
        <v>3.6</v>
      </c>
      <c r="D61" s="23">
        <v>4.0999999999999996</v>
      </c>
      <c r="E61" s="21">
        <f t="shared" ref="E61:N61" si="41">E9*E$54/E$2</f>
        <v>4.6576845914952081</v>
      </c>
      <c r="F61" s="21">
        <f t="shared" si="41"/>
        <v>5.1983287244771548</v>
      </c>
      <c r="G61" s="21">
        <f t="shared" si="41"/>
        <v>5.850290063286077</v>
      </c>
      <c r="H61" s="21">
        <f t="shared" si="41"/>
        <v>6.5131166910951794</v>
      </c>
      <c r="I61" s="21">
        <f t="shared" si="41"/>
        <v>7.2918701002579782</v>
      </c>
      <c r="J61" s="21">
        <f t="shared" si="41"/>
        <v>8.0539361029399625</v>
      </c>
      <c r="K61" s="21">
        <f t="shared" si="41"/>
        <v>8.8218022058787486</v>
      </c>
      <c r="L61" s="21">
        <f t="shared" si="41"/>
        <v>9.7008575249205222</v>
      </c>
      <c r="M61" s="21">
        <f t="shared" si="41"/>
        <v>10.480575619062273</v>
      </c>
      <c r="N61" s="21">
        <f t="shared" si="41"/>
        <v>11.372197851604392</v>
      </c>
      <c r="O61">
        <f t="shared" si="35"/>
        <v>12.195851291712358</v>
      </c>
      <c r="P61">
        <f t="shared" si="39"/>
        <v>13.078914560777475</v>
      </c>
      <c r="Q61">
        <f t="shared" si="39"/>
        <v>14.025653364481922</v>
      </c>
      <c r="R61">
        <f t="shared" si="39"/>
        <v>15.04063813021777</v>
      </c>
      <c r="S61">
        <f t="shared" si="39"/>
        <v>16.128765649209896</v>
      </c>
      <c r="T61">
        <f t="shared" si="39"/>
        <v>16.812623206122105</v>
      </c>
      <c r="U61">
        <f t="shared" si="39"/>
        <v>17.525137145169882</v>
      </c>
      <c r="V61">
        <f t="shared" si="39"/>
        <v>18.267491377053073</v>
      </c>
      <c r="W61">
        <f t="shared" si="39"/>
        <v>19.040917869414397</v>
      </c>
      <c r="X61">
        <f t="shared" si="39"/>
        <v>19.846698553582069</v>
      </c>
      <c r="Y61">
        <f t="shared" si="39"/>
        <v>20.470401630355756</v>
      </c>
      <c r="Z61">
        <f t="shared" si="39"/>
        <v>20.96860828707819</v>
      </c>
      <c r="AA61">
        <f t="shared" si="39"/>
        <v>21.363069955781487</v>
      </c>
      <c r="AB61">
        <f t="shared" si="39"/>
        <v>21.671769428146298</v>
      </c>
      <c r="AC61">
        <f t="shared" si="39"/>
        <v>21.909573576835637</v>
      </c>
      <c r="AD61">
        <f t="shared" si="39"/>
        <v>22.088773065281256</v>
      </c>
      <c r="AE61">
        <f t="shared" si="39"/>
        <v>22.219528606202338</v>
      </c>
      <c r="AF61">
        <f t="shared" si="39"/>
        <v>22.310239944674581</v>
      </c>
      <c r="AG61">
        <f t="shared" si="39"/>
        <v>22.367850942531426</v>
      </c>
      <c r="AH61">
        <f t="shared" si="39"/>
        <v>22.398101826033681</v>
      </c>
      <c r="AI61">
        <f t="shared" si="39"/>
        <v>22.405737744357292</v>
      </c>
      <c r="AJ61">
        <f t="shared" si="39"/>
        <v>22.394681203263218</v>
      </c>
      <c r="AK61">
        <f t="shared" si="39"/>
        <v>22.368174629047367</v>
      </c>
      <c r="AL61">
        <f t="shared" si="39"/>
        <v>22.328898235142191</v>
      </c>
      <c r="AM61">
        <f t="shared" si="39"/>
        <v>22.279067468370354</v>
      </c>
    </row>
    <row r="62" spans="1:39" x14ac:dyDescent="0.2">
      <c r="A62" s="5" t="s">
        <v>13</v>
      </c>
      <c r="B62" s="2" t="s">
        <v>36</v>
      </c>
      <c r="C62" s="21">
        <v>2</v>
      </c>
      <c r="D62" s="21">
        <v>2.6</v>
      </c>
      <c r="E62" s="21">
        <f t="shared" ref="E62:N62" si="42">E10*E$54/E$2</f>
        <v>3.3413824243335188</v>
      </c>
      <c r="F62" s="21">
        <f t="shared" si="42"/>
        <v>4.077120568217377</v>
      </c>
      <c r="G62" s="21">
        <f t="shared" si="42"/>
        <v>4.8239233855165899</v>
      </c>
      <c r="H62" s="21">
        <f t="shared" si="42"/>
        <v>5.5826714495101539</v>
      </c>
      <c r="I62" s="21">
        <f t="shared" si="42"/>
        <v>6.3543439445105241</v>
      </c>
      <c r="J62" s="21">
        <f t="shared" si="42"/>
        <v>7.1125669480508744</v>
      </c>
      <c r="K62" s="21">
        <f t="shared" si="42"/>
        <v>7.8766091123917388</v>
      </c>
      <c r="L62" s="21">
        <f t="shared" si="42"/>
        <v>8.6464164896030749</v>
      </c>
      <c r="M62" s="21">
        <f t="shared" si="42"/>
        <v>9.4219316171367904</v>
      </c>
      <c r="N62" s="21">
        <f t="shared" si="42"/>
        <v>10.096811176658106</v>
      </c>
      <c r="O62">
        <f t="shared" si="35"/>
        <v>10.828092268342749</v>
      </c>
      <c r="P62">
        <f t="shared" si="39"/>
        <v>11.612120404428602</v>
      </c>
      <c r="Q62">
        <f t="shared" si="39"/>
        <v>12.452682893698903</v>
      </c>
      <c r="R62">
        <f t="shared" si="39"/>
        <v>13.353837592249423</v>
      </c>
      <c r="S62">
        <f t="shared" si="39"/>
        <v>14.319932118457384</v>
      </c>
      <c r="T62">
        <f t="shared" si="39"/>
        <v>14.927095369921496</v>
      </c>
      <c r="U62">
        <f t="shared" si="39"/>
        <v>15.559701203655505</v>
      </c>
      <c r="V62">
        <f t="shared" si="39"/>
        <v>16.218800755327496</v>
      </c>
      <c r="W62">
        <f t="shared" si="39"/>
        <v>16.905487827984746</v>
      </c>
      <c r="X62">
        <f t="shared" si="39"/>
        <v>17.620900584956047</v>
      </c>
      <c r="Y62">
        <f t="shared" si="39"/>
        <v>18.174655653119597</v>
      </c>
      <c r="Z62">
        <f t="shared" si="39"/>
        <v>18.616988666097459</v>
      </c>
      <c r="AA62">
        <f t="shared" si="39"/>
        <v>18.96721164298356</v>
      </c>
      <c r="AB62">
        <f t="shared" si="39"/>
        <v>19.241290613774751</v>
      </c>
      <c r="AC62">
        <f t="shared" si="39"/>
        <v>19.452425138312016</v>
      </c>
      <c r="AD62">
        <f t="shared" si="39"/>
        <v>19.611527487866535</v>
      </c>
      <c r="AE62">
        <f t="shared" si="39"/>
        <v>19.72761885597404</v>
      </c>
      <c r="AF62">
        <f t="shared" si="39"/>
        <v>19.808156960225098</v>
      </c>
      <c r="AG62">
        <f t="shared" si="39"/>
        <v>19.859306911593322</v>
      </c>
      <c r="AH62">
        <f t="shared" si="39"/>
        <v>19.886165172646727</v>
      </c>
      <c r="AI62">
        <f t="shared" si="39"/>
        <v>19.892944726298534</v>
      </c>
      <c r="AJ62">
        <f t="shared" si="39"/>
        <v>19.883128171121548</v>
      </c>
      <c r="AK62">
        <f t="shared" si="39"/>
        <v>19.859594296817757</v>
      </c>
      <c r="AL62">
        <f t="shared" si="39"/>
        <v>19.824722732135591</v>
      </c>
      <c r="AM62">
        <f t="shared" si="39"/>
        <v>19.780480462571809</v>
      </c>
    </row>
    <row r="63" spans="1:39" x14ac:dyDescent="0.2">
      <c r="A63" s="2" t="s">
        <v>14</v>
      </c>
      <c r="B63" s="2" t="s">
        <v>36</v>
      </c>
      <c r="C63" s="23">
        <v>1.5</v>
      </c>
      <c r="D63" s="23">
        <v>1.8</v>
      </c>
      <c r="E63" s="21">
        <f t="shared" ref="E63:N63" si="43">E11*E$54/E$2</f>
        <v>2.227588282889013</v>
      </c>
      <c r="F63" s="21">
        <f t="shared" si="43"/>
        <v>2.6501283693412954</v>
      </c>
      <c r="G63" s="21">
        <f t="shared" si="43"/>
        <v>3.0791000333084622</v>
      </c>
      <c r="H63" s="21">
        <f t="shared" si="43"/>
        <v>3.618398161719544</v>
      </c>
      <c r="I63" s="21">
        <f t="shared" si="43"/>
        <v>4.0626133415723027</v>
      </c>
      <c r="J63" s="21">
        <f t="shared" si="43"/>
        <v>4.602249201679979</v>
      </c>
      <c r="K63" s="21">
        <f t="shared" si="43"/>
        <v>5.1460512867626038</v>
      </c>
      <c r="L63" s="21">
        <f t="shared" si="43"/>
        <v>5.5885374871824745</v>
      </c>
      <c r="M63" s="21">
        <f t="shared" si="43"/>
        <v>6.1401352111677951</v>
      </c>
      <c r="N63" s="21">
        <f t="shared" si="43"/>
        <v>6.6957800434680061</v>
      </c>
      <c r="O63">
        <f t="shared" si="35"/>
        <v>7.1807348726904534</v>
      </c>
      <c r="P63">
        <f t="shared" si="39"/>
        <v>7.7006693208315982</v>
      </c>
      <c r="Q63">
        <f t="shared" si="39"/>
        <v>8.2580949716108503</v>
      </c>
      <c r="R63">
        <f t="shared" si="39"/>
        <v>8.8557028243338269</v>
      </c>
      <c r="S63">
        <f t="shared" si="39"/>
        <v>9.4963760364506857</v>
      </c>
      <c r="T63">
        <f t="shared" si="39"/>
        <v>9.8990211400532004</v>
      </c>
      <c r="U63">
        <f t="shared" si="39"/>
        <v>10.318538692950492</v>
      </c>
      <c r="V63">
        <f t="shared" si="39"/>
        <v>10.755625764059285</v>
      </c>
      <c r="W63">
        <f t="shared" si="39"/>
        <v>11.211007717505671</v>
      </c>
      <c r="X63">
        <f t="shared" si="39"/>
        <v>11.68543933528664</v>
      </c>
      <c r="Y63">
        <f t="shared" si="39"/>
        <v>12.052666380489836</v>
      </c>
      <c r="Z63">
        <f t="shared" si="39"/>
        <v>12.346003010148841</v>
      </c>
      <c r="AA63">
        <f t="shared" si="39"/>
        <v>12.578256142189097</v>
      </c>
      <c r="AB63">
        <f t="shared" si="39"/>
        <v>12.760013775450624</v>
      </c>
      <c r="AC63">
        <f t="shared" si="39"/>
        <v>12.900029302249019</v>
      </c>
      <c r="AD63">
        <f t="shared" si="39"/>
        <v>13.00553928142728</v>
      </c>
      <c r="AE63">
        <f t="shared" si="39"/>
        <v>13.082526188698571</v>
      </c>
      <c r="AF63">
        <f t="shared" si="39"/>
        <v>13.135935668359799</v>
      </c>
      <c r="AG63">
        <f t="shared" si="39"/>
        <v>13.169856162425043</v>
      </c>
      <c r="AH63">
        <f t="shared" si="39"/>
        <v>13.187667430281511</v>
      </c>
      <c r="AI63">
        <f t="shared" si="39"/>
        <v>13.192163344808499</v>
      </c>
      <c r="AJ63">
        <f t="shared" si="39"/>
        <v>13.185653418743764</v>
      </c>
      <c r="AK63">
        <f t="shared" si="39"/>
        <v>13.170046744205457</v>
      </c>
      <c r="AL63">
        <f t="shared" si="39"/>
        <v>13.146921390784653</v>
      </c>
      <c r="AM63">
        <f t="shared" si="39"/>
        <v>13.117581780442356</v>
      </c>
    </row>
    <row r="64" spans="1:39" x14ac:dyDescent="0.2">
      <c r="A64" s="2" t="s">
        <v>16</v>
      </c>
      <c r="B64" s="2" t="s">
        <v>36</v>
      </c>
      <c r="C64" s="23">
        <v>2.2000000000000002</v>
      </c>
      <c r="D64" s="23">
        <v>2.5</v>
      </c>
      <c r="E64" s="21">
        <f t="shared" ref="E64:N64" si="44">E12*E$54/E$2</f>
        <v>2.7338583471819704</v>
      </c>
      <c r="F64" s="21">
        <f t="shared" si="44"/>
        <v>3.0578404261630325</v>
      </c>
      <c r="G64" s="21">
        <f t="shared" si="44"/>
        <v>3.2843733688623598</v>
      </c>
      <c r="H64" s="21">
        <f t="shared" si="44"/>
        <v>3.618398161719544</v>
      </c>
      <c r="I64" s="21">
        <f t="shared" si="44"/>
        <v>3.958443768711474</v>
      </c>
      <c r="J64" s="21">
        <f t="shared" si="44"/>
        <v>4.2884594833836154</v>
      </c>
      <c r="K64" s="21">
        <f t="shared" si="44"/>
        <v>4.6209440126031538</v>
      </c>
      <c r="L64" s="21">
        <f t="shared" si="44"/>
        <v>4.9558728659920064</v>
      </c>
      <c r="M64" s="21">
        <f t="shared" si="44"/>
        <v>5.2932200096274098</v>
      </c>
      <c r="N64" s="21">
        <f t="shared" si="44"/>
        <v>5.7392400372582921</v>
      </c>
      <c r="O64">
        <f t="shared" si="35"/>
        <v>6.1549156051632465</v>
      </c>
      <c r="P64">
        <f t="shared" si="39"/>
        <v>6.6005737035699426</v>
      </c>
      <c r="Q64">
        <f t="shared" si="39"/>
        <v>7.0783671185235875</v>
      </c>
      <c r="R64">
        <f t="shared" si="39"/>
        <v>7.5906024208575671</v>
      </c>
      <c r="S64">
        <f t="shared" si="39"/>
        <v>8.1397508883863026</v>
      </c>
      <c r="T64">
        <f t="shared" si="39"/>
        <v>8.4848752629027455</v>
      </c>
      <c r="U64">
        <f t="shared" si="39"/>
        <v>8.8444617368147078</v>
      </c>
      <c r="V64">
        <f t="shared" si="39"/>
        <v>9.2191077977651048</v>
      </c>
      <c r="W64">
        <f t="shared" si="39"/>
        <v>9.6094351864334353</v>
      </c>
      <c r="X64">
        <f t="shared" si="39"/>
        <v>10.016090858817121</v>
      </c>
      <c r="Y64">
        <f t="shared" si="39"/>
        <v>10.330856897562718</v>
      </c>
      <c r="Z64">
        <f t="shared" si="39"/>
        <v>10.582288294413294</v>
      </c>
      <c r="AA64">
        <f t="shared" si="39"/>
        <v>10.781362407590658</v>
      </c>
      <c r="AB64">
        <f t="shared" si="39"/>
        <v>10.937154664671965</v>
      </c>
      <c r="AC64">
        <f t="shared" si="39"/>
        <v>11.057167973356304</v>
      </c>
      <c r="AD64">
        <f t="shared" si="39"/>
        <v>11.147605098366244</v>
      </c>
      <c r="AE64">
        <f t="shared" si="39"/>
        <v>11.213593876027348</v>
      </c>
      <c r="AF64">
        <f t="shared" si="39"/>
        <v>11.259373430022688</v>
      </c>
      <c r="AG64">
        <f t="shared" si="39"/>
        <v>11.288448139221467</v>
      </c>
      <c r="AH64">
        <f t="shared" si="39"/>
        <v>11.303714940241298</v>
      </c>
      <c r="AI64">
        <f t="shared" si="39"/>
        <v>11.30756858126443</v>
      </c>
      <c r="AJ64">
        <f t="shared" si="39"/>
        <v>11.301988644637513</v>
      </c>
      <c r="AK64">
        <f t="shared" si="39"/>
        <v>11.288611495033253</v>
      </c>
      <c r="AL64">
        <f t="shared" si="39"/>
        <v>11.268789763529707</v>
      </c>
      <c r="AM64">
        <f t="shared" si="39"/>
        <v>11.24364152609345</v>
      </c>
    </row>
    <row r="65" spans="1:39" x14ac:dyDescent="0.2">
      <c r="A65" s="5" t="s">
        <v>17</v>
      </c>
      <c r="B65" s="2" t="s">
        <v>36</v>
      </c>
      <c r="C65" s="21">
        <v>2.7</v>
      </c>
      <c r="D65" s="21">
        <v>2.9</v>
      </c>
      <c r="E65" s="21">
        <f t="shared" ref="E65:N65" si="45">E13*E$54/E$2</f>
        <v>3.0376203857577448</v>
      </c>
      <c r="F65" s="21">
        <f t="shared" si="45"/>
        <v>3.2616964545739013</v>
      </c>
      <c r="G65" s="21">
        <f t="shared" si="45"/>
        <v>3.4896467044162569</v>
      </c>
      <c r="H65" s="21">
        <f t="shared" si="45"/>
        <v>3.618398161719544</v>
      </c>
      <c r="I65" s="21">
        <f t="shared" si="45"/>
        <v>3.8542741958506461</v>
      </c>
      <c r="J65" s="21">
        <f t="shared" si="45"/>
        <v>4.0792663378527081</v>
      </c>
      <c r="K65" s="21">
        <f t="shared" si="45"/>
        <v>4.4109011029393743</v>
      </c>
      <c r="L65" s="21">
        <f t="shared" si="45"/>
        <v>4.6395405553967723</v>
      </c>
      <c r="M65" s="21">
        <f t="shared" si="45"/>
        <v>4.8697624088572171</v>
      </c>
      <c r="N65" s="21">
        <f t="shared" si="45"/>
        <v>5.101546699785148</v>
      </c>
      <c r="O65">
        <f t="shared" si="35"/>
        <v>5.4710360934784417</v>
      </c>
      <c r="P65">
        <f t="shared" si="39"/>
        <v>5.867176625395504</v>
      </c>
      <c r="Q65">
        <f t="shared" si="39"/>
        <v>6.2918818831320769</v>
      </c>
      <c r="R65">
        <f t="shared" si="39"/>
        <v>6.7472021518733927</v>
      </c>
      <c r="S65">
        <f t="shared" si="39"/>
        <v>7.2353341230100456</v>
      </c>
      <c r="T65">
        <f t="shared" si="39"/>
        <v>7.5421113448024393</v>
      </c>
      <c r="U65">
        <f t="shared" si="39"/>
        <v>7.8617437660575176</v>
      </c>
      <c r="V65">
        <f t="shared" si="39"/>
        <v>8.194762486902313</v>
      </c>
      <c r="W65">
        <f t="shared" si="39"/>
        <v>8.5417201657186084</v>
      </c>
      <c r="X65">
        <f t="shared" si="39"/>
        <v>8.9031918745041061</v>
      </c>
      <c r="Y65">
        <f t="shared" si="39"/>
        <v>9.182983908944637</v>
      </c>
      <c r="Z65">
        <f t="shared" si="39"/>
        <v>9.4064784839229265</v>
      </c>
      <c r="AA65">
        <f t="shared" si="39"/>
        <v>9.5834332511916944</v>
      </c>
      <c r="AB65">
        <f t="shared" si="39"/>
        <v>9.7219152574861898</v>
      </c>
      <c r="AC65">
        <f t="shared" si="39"/>
        <v>9.8285937540944914</v>
      </c>
      <c r="AD65">
        <f t="shared" si="39"/>
        <v>9.9089823096588816</v>
      </c>
      <c r="AE65">
        <f t="shared" si="39"/>
        <v>9.9676390009131968</v>
      </c>
      <c r="AF65">
        <f t="shared" si="39"/>
        <v>10.008331937797944</v>
      </c>
      <c r="AG65">
        <f t="shared" si="39"/>
        <v>10.034176123752415</v>
      </c>
      <c r="AH65">
        <f t="shared" si="39"/>
        <v>10.047746613547819</v>
      </c>
      <c r="AI65">
        <f t="shared" si="39"/>
        <v>10.051172072235047</v>
      </c>
      <c r="AJ65">
        <f t="shared" si="39"/>
        <v>10.046212128566678</v>
      </c>
      <c r="AK65">
        <f t="shared" si="39"/>
        <v>10.034321328918447</v>
      </c>
      <c r="AL65">
        <f t="shared" si="39"/>
        <v>10.016702012026403</v>
      </c>
      <c r="AM65">
        <f t="shared" si="39"/>
        <v>9.9943480231941777</v>
      </c>
    </row>
    <row r="66" spans="1:39" x14ac:dyDescent="0.2">
      <c r="A66" s="2" t="s">
        <v>18</v>
      </c>
      <c r="B66" s="2" t="s">
        <v>36</v>
      </c>
      <c r="C66" s="23">
        <v>1.2</v>
      </c>
      <c r="D66" s="23">
        <v>1.5</v>
      </c>
      <c r="E66" s="21">
        <f t="shared" ref="E66:N66" si="46">E14*E$54/E$2</f>
        <v>1.8225722314546471</v>
      </c>
      <c r="F66" s="21">
        <f t="shared" si="46"/>
        <v>2.0385602841086885</v>
      </c>
      <c r="G66" s="21">
        <f t="shared" si="46"/>
        <v>2.3606433588698206</v>
      </c>
      <c r="H66" s="21">
        <f t="shared" si="46"/>
        <v>2.6879529201345185</v>
      </c>
      <c r="I66" s="21">
        <f t="shared" si="46"/>
        <v>3.1250871858248477</v>
      </c>
      <c r="J66" s="21">
        <f t="shared" si="46"/>
        <v>3.4516869012599831</v>
      </c>
      <c r="K66" s="21">
        <f t="shared" si="46"/>
        <v>3.7807723739480346</v>
      </c>
      <c r="L66" s="21">
        <f t="shared" si="46"/>
        <v>4.2177641412697922</v>
      </c>
      <c r="M66" s="21">
        <f t="shared" si="46"/>
        <v>4.5521692082795724</v>
      </c>
      <c r="N66" s="21">
        <f t="shared" si="46"/>
        <v>4.8889822539607666</v>
      </c>
      <c r="O66">
        <f t="shared" si="35"/>
        <v>5.2430762562501725</v>
      </c>
      <c r="P66">
        <f t="shared" si="39"/>
        <v>5.6227109326706906</v>
      </c>
      <c r="Q66">
        <f t="shared" si="39"/>
        <v>6.0297201380015739</v>
      </c>
      <c r="R66">
        <f t="shared" si="39"/>
        <v>6.4660687288786676</v>
      </c>
      <c r="S66">
        <f t="shared" si="39"/>
        <v>6.9338618678846276</v>
      </c>
      <c r="T66">
        <f t="shared" si="39"/>
        <v>7.2278567054356708</v>
      </c>
      <c r="U66">
        <f t="shared" si="39"/>
        <v>7.5341711091384536</v>
      </c>
      <c r="V66">
        <f t="shared" si="39"/>
        <v>7.8533140499480503</v>
      </c>
      <c r="W66">
        <f t="shared" si="39"/>
        <v>8.1858151588136661</v>
      </c>
      <c r="X66">
        <f t="shared" si="39"/>
        <v>8.5322255463997685</v>
      </c>
      <c r="Y66">
        <f t="shared" si="39"/>
        <v>8.8003595794052778</v>
      </c>
      <c r="Z66">
        <f t="shared" si="39"/>
        <v>9.0145418804261368</v>
      </c>
      <c r="AA66">
        <f t="shared" si="39"/>
        <v>9.1841235323920412</v>
      </c>
      <c r="AB66">
        <f t="shared" si="39"/>
        <v>9.3168354550909314</v>
      </c>
      <c r="AC66">
        <f t="shared" si="39"/>
        <v>9.419069014340554</v>
      </c>
      <c r="AD66">
        <f t="shared" si="39"/>
        <v>9.4961080467564276</v>
      </c>
      <c r="AE66">
        <f t="shared" si="39"/>
        <v>9.5523207092084803</v>
      </c>
      <c r="AF66">
        <f t="shared" si="39"/>
        <v>9.5913181070563613</v>
      </c>
      <c r="AG66">
        <f t="shared" si="39"/>
        <v>9.616085451929397</v>
      </c>
      <c r="AH66">
        <f t="shared" si="39"/>
        <v>9.6290905046499926</v>
      </c>
      <c r="AI66">
        <f t="shared" si="39"/>
        <v>9.6323732358919205</v>
      </c>
      <c r="AJ66">
        <f t="shared" si="39"/>
        <v>9.6276199565430662</v>
      </c>
      <c r="AK66">
        <f t="shared" si="39"/>
        <v>9.6162246068801753</v>
      </c>
      <c r="AL66">
        <f t="shared" si="39"/>
        <v>9.5993394281919713</v>
      </c>
      <c r="AM66">
        <f t="shared" si="39"/>
        <v>9.5779168555610852</v>
      </c>
    </row>
    <row r="67" spans="1:39" x14ac:dyDescent="0.2">
      <c r="A67" s="5" t="s">
        <v>19</v>
      </c>
      <c r="B67" s="2" t="s">
        <v>36</v>
      </c>
      <c r="C67" s="21">
        <v>1.1000000000000001</v>
      </c>
      <c r="D67" s="21">
        <v>1.2</v>
      </c>
      <c r="E67" s="21">
        <f t="shared" ref="E67:N67" si="47">E15*E$54/E$2</f>
        <v>1.4175561800202807</v>
      </c>
      <c r="F67" s="21">
        <f t="shared" si="47"/>
        <v>1.6308482272869507</v>
      </c>
      <c r="G67" s="21">
        <f t="shared" si="47"/>
        <v>1.8474600199850773</v>
      </c>
      <c r="H67" s="21">
        <f t="shared" si="47"/>
        <v>2.1710388970317265</v>
      </c>
      <c r="I67" s="21">
        <f t="shared" si="47"/>
        <v>2.3959001757990497</v>
      </c>
      <c r="J67" s="21">
        <f t="shared" si="47"/>
        <v>2.6149143191363513</v>
      </c>
      <c r="K67" s="21">
        <f t="shared" si="47"/>
        <v>2.9406007352929158</v>
      </c>
      <c r="L67" s="21">
        <f t="shared" si="47"/>
        <v>3.1633231059523443</v>
      </c>
      <c r="M67" s="21">
        <f t="shared" si="47"/>
        <v>3.4935252063540903</v>
      </c>
      <c r="N67" s="21">
        <f t="shared" si="47"/>
        <v>3.7198778019266703</v>
      </c>
      <c r="O67">
        <f t="shared" si="35"/>
        <v>3.9892971514946969</v>
      </c>
      <c r="P67">
        <f t="shared" si="39"/>
        <v>4.2781496226842215</v>
      </c>
      <c r="Q67">
        <f t="shared" si="39"/>
        <v>4.5878305397838064</v>
      </c>
      <c r="R67">
        <f t="shared" si="39"/>
        <v>4.9198349024076817</v>
      </c>
      <c r="S67">
        <f t="shared" si="39"/>
        <v>5.2757644646948254</v>
      </c>
      <c r="T67">
        <f t="shared" si="39"/>
        <v>5.4994561889184457</v>
      </c>
      <c r="U67">
        <f t="shared" si="39"/>
        <v>5.7325214960836055</v>
      </c>
      <c r="V67">
        <f t="shared" si="39"/>
        <v>5.9753476466996025</v>
      </c>
      <c r="W67">
        <f t="shared" si="39"/>
        <v>6.2283376208364851</v>
      </c>
      <c r="X67">
        <f t="shared" si="39"/>
        <v>6.4919107418259117</v>
      </c>
      <c r="Y67">
        <f t="shared" si="39"/>
        <v>6.6959257669387977</v>
      </c>
      <c r="Z67">
        <f t="shared" si="39"/>
        <v>6.8588905611938014</v>
      </c>
      <c r="AA67">
        <f t="shared" si="39"/>
        <v>6.9879200789939437</v>
      </c>
      <c r="AB67">
        <f t="shared" si="39"/>
        <v>7.0888965419170136</v>
      </c>
      <c r="AC67">
        <f t="shared" si="39"/>
        <v>7.1666829456938999</v>
      </c>
      <c r="AD67">
        <f t="shared" si="39"/>
        <v>7.2252996007929342</v>
      </c>
      <c r="AE67">
        <f t="shared" si="39"/>
        <v>7.2680701048325398</v>
      </c>
      <c r="AF67">
        <f t="shared" si="39"/>
        <v>7.2977420379776667</v>
      </c>
      <c r="AG67">
        <f t="shared" si="39"/>
        <v>7.3165867569028018</v>
      </c>
      <c r="AH67">
        <f t="shared" si="39"/>
        <v>7.3264819057119519</v>
      </c>
      <c r="AI67">
        <f t="shared" si="39"/>
        <v>7.3289796360047221</v>
      </c>
      <c r="AJ67">
        <f t="shared" si="39"/>
        <v>7.325363010413203</v>
      </c>
      <c r="AK67">
        <f t="shared" si="39"/>
        <v>7.3166926356696989</v>
      </c>
      <c r="AL67">
        <f t="shared" si="39"/>
        <v>7.3038452171025856</v>
      </c>
      <c r="AM67">
        <f t="shared" si="39"/>
        <v>7.2875454335790861</v>
      </c>
    </row>
    <row r="68" spans="1:39" x14ac:dyDescent="0.2">
      <c r="A68" s="27" t="s">
        <v>66</v>
      </c>
      <c r="B68" s="2" t="s">
        <v>36</v>
      </c>
      <c r="C68" s="23">
        <v>1.3</v>
      </c>
      <c r="D68" s="23">
        <v>1.5</v>
      </c>
      <c r="E68" s="21">
        <f t="shared" ref="E68:N68" si="48">E16*E$54/E$2</f>
        <v>1.7213182185960554</v>
      </c>
      <c r="F68" s="21">
        <f t="shared" si="48"/>
        <v>1.8347042556978197</v>
      </c>
      <c r="G68" s="21">
        <f t="shared" si="48"/>
        <v>2.0527333555389746</v>
      </c>
      <c r="H68" s="21">
        <f t="shared" si="48"/>
        <v>2.274421701652285</v>
      </c>
      <c r="I68" s="21">
        <f t="shared" si="48"/>
        <v>2.5000697486598784</v>
      </c>
      <c r="J68" s="21">
        <f t="shared" si="48"/>
        <v>2.7195108919018054</v>
      </c>
      <c r="K68" s="21">
        <f t="shared" si="48"/>
        <v>2.9406007352929158</v>
      </c>
      <c r="L68" s="21">
        <f t="shared" si="48"/>
        <v>3.2687672094840892</v>
      </c>
      <c r="M68" s="21">
        <f t="shared" si="48"/>
        <v>3.4935252063540903</v>
      </c>
      <c r="N68" s="21">
        <f t="shared" si="48"/>
        <v>3.7198778019266703</v>
      </c>
      <c r="O68">
        <f t="shared" si="35"/>
        <v>3.9892971514946969</v>
      </c>
      <c r="P68">
        <f t="shared" si="39"/>
        <v>4.2781496226842215</v>
      </c>
      <c r="Q68">
        <f t="shared" si="39"/>
        <v>4.5878305397838064</v>
      </c>
      <c r="R68">
        <f t="shared" si="39"/>
        <v>4.9198349024076817</v>
      </c>
      <c r="S68">
        <f t="shared" si="39"/>
        <v>5.2757644646948254</v>
      </c>
      <c r="T68">
        <f t="shared" si="39"/>
        <v>5.4994561889184457</v>
      </c>
      <c r="U68">
        <f t="shared" si="39"/>
        <v>5.7325214960836055</v>
      </c>
      <c r="V68">
        <f t="shared" si="39"/>
        <v>5.9753476466996025</v>
      </c>
      <c r="W68">
        <f t="shared" si="39"/>
        <v>6.2283376208364851</v>
      </c>
      <c r="X68">
        <f t="shared" si="39"/>
        <v>6.4919107418259117</v>
      </c>
      <c r="Y68">
        <f t="shared" si="39"/>
        <v>6.6959257669387977</v>
      </c>
      <c r="Z68">
        <f t="shared" si="39"/>
        <v>6.8588905611938014</v>
      </c>
      <c r="AA68">
        <f t="shared" si="39"/>
        <v>6.9879200789939437</v>
      </c>
      <c r="AB68">
        <f t="shared" si="39"/>
        <v>7.0888965419170136</v>
      </c>
      <c r="AC68">
        <f t="shared" si="39"/>
        <v>7.1666829456938999</v>
      </c>
      <c r="AD68">
        <f t="shared" si="39"/>
        <v>7.2252996007929342</v>
      </c>
      <c r="AE68">
        <f t="shared" si="39"/>
        <v>7.2680701048325398</v>
      </c>
      <c r="AF68">
        <f t="shared" si="39"/>
        <v>7.2977420379776667</v>
      </c>
      <c r="AG68">
        <f t="shared" si="39"/>
        <v>7.3165867569028018</v>
      </c>
      <c r="AH68">
        <f t="shared" si="39"/>
        <v>7.3264819057119519</v>
      </c>
      <c r="AI68">
        <f t="shared" si="39"/>
        <v>7.3289796360047221</v>
      </c>
      <c r="AJ68">
        <f t="shared" si="39"/>
        <v>7.325363010413203</v>
      </c>
      <c r="AK68">
        <f t="shared" si="39"/>
        <v>7.3166926356696989</v>
      </c>
      <c r="AL68">
        <f t="shared" si="39"/>
        <v>7.3038452171025856</v>
      </c>
      <c r="AM68">
        <f t="shared" si="39"/>
        <v>7.2875454335790861</v>
      </c>
    </row>
    <row r="69" spans="1:39" x14ac:dyDescent="0.2">
      <c r="A69" s="5" t="s">
        <v>21</v>
      </c>
      <c r="B69" s="2" t="s">
        <v>36</v>
      </c>
      <c r="C69" s="21">
        <v>1.6</v>
      </c>
      <c r="D69" s="21">
        <v>1.7</v>
      </c>
      <c r="E69" s="21">
        <f t="shared" ref="E69:N69" si="49">E17*E$54/E$2</f>
        <v>1.8225722314546471</v>
      </c>
      <c r="F69" s="21">
        <f t="shared" si="49"/>
        <v>1.9366322699032539</v>
      </c>
      <c r="G69" s="21">
        <f t="shared" si="49"/>
        <v>2.0527333555389746</v>
      </c>
      <c r="H69" s="21">
        <f t="shared" si="49"/>
        <v>2.274421701652285</v>
      </c>
      <c r="I69" s="21">
        <f t="shared" si="49"/>
        <v>2.3959001757990497</v>
      </c>
      <c r="J69" s="21">
        <f t="shared" si="49"/>
        <v>2.6149143191363513</v>
      </c>
      <c r="K69" s="21">
        <f t="shared" si="49"/>
        <v>2.7305578256291363</v>
      </c>
      <c r="L69" s="21">
        <f t="shared" si="49"/>
        <v>2.9524348988888542</v>
      </c>
      <c r="M69" s="21">
        <f t="shared" si="49"/>
        <v>3.175932005776446</v>
      </c>
      <c r="N69" s="21">
        <f t="shared" si="49"/>
        <v>3.2947489102779079</v>
      </c>
      <c r="O69">
        <f t="shared" si="35"/>
        <v>3.5333774770381599</v>
      </c>
      <c r="P69">
        <f t="shared" si="39"/>
        <v>3.7892182372345959</v>
      </c>
      <c r="Q69">
        <f t="shared" si="39"/>
        <v>4.0635070495227996</v>
      </c>
      <c r="R69">
        <f t="shared" si="39"/>
        <v>4.3575680564182315</v>
      </c>
      <c r="S69">
        <f t="shared" si="39"/>
        <v>4.6728199544439883</v>
      </c>
      <c r="T69">
        <f t="shared" si="39"/>
        <v>4.8709469101849088</v>
      </c>
      <c r="U69">
        <f t="shared" si="39"/>
        <v>5.0773761822454802</v>
      </c>
      <c r="V69">
        <f t="shared" si="39"/>
        <v>5.292450772791077</v>
      </c>
      <c r="W69">
        <f t="shared" si="39"/>
        <v>5.5165276070266014</v>
      </c>
      <c r="X69">
        <f t="shared" si="39"/>
        <v>5.7499780856172356</v>
      </c>
      <c r="Y69">
        <f t="shared" si="39"/>
        <v>5.9306771078600784</v>
      </c>
      <c r="Z69">
        <f t="shared" si="39"/>
        <v>6.0750173542002237</v>
      </c>
      <c r="AA69">
        <f t="shared" si="39"/>
        <v>6.1893006413946363</v>
      </c>
      <c r="AB69">
        <f t="shared" si="39"/>
        <v>6.2787369371264976</v>
      </c>
      <c r="AC69">
        <f t="shared" si="39"/>
        <v>6.3476334661860259</v>
      </c>
      <c r="AD69">
        <f t="shared" si="39"/>
        <v>6.3995510749880271</v>
      </c>
      <c r="AE69">
        <f t="shared" si="39"/>
        <v>6.437433521423106</v>
      </c>
      <c r="AF69">
        <f t="shared" si="39"/>
        <v>6.4637143764945053</v>
      </c>
      <c r="AG69">
        <f t="shared" si="39"/>
        <v>6.4804054132567677</v>
      </c>
      <c r="AH69">
        <f t="shared" si="39"/>
        <v>6.4891696879163003</v>
      </c>
      <c r="AI69">
        <f t="shared" si="39"/>
        <v>6.4913819633184682</v>
      </c>
      <c r="AJ69">
        <f t="shared" si="39"/>
        <v>6.4881786663659788</v>
      </c>
      <c r="AK69">
        <f t="shared" si="39"/>
        <v>6.4804991915931618</v>
      </c>
      <c r="AL69">
        <f t="shared" si="39"/>
        <v>6.4691200494337187</v>
      </c>
      <c r="AM69">
        <f t="shared" si="39"/>
        <v>6.4546830983129055</v>
      </c>
    </row>
    <row r="70" spans="1:39" x14ac:dyDescent="0.2">
      <c r="A70" s="2" t="s">
        <v>22</v>
      </c>
      <c r="B70" s="2" t="s">
        <v>36</v>
      </c>
      <c r="C70" s="23">
        <v>0.5</v>
      </c>
      <c r="D70" s="23">
        <v>0.6</v>
      </c>
      <c r="E70" s="21">
        <f t="shared" ref="E70:N70" si="50">E18*E$54/E$2</f>
        <v>0.70877809001014036</v>
      </c>
      <c r="F70" s="21">
        <f t="shared" si="50"/>
        <v>0.81542411364347533</v>
      </c>
      <c r="G70" s="21">
        <f t="shared" si="50"/>
        <v>0.92373000999253863</v>
      </c>
      <c r="H70" s="21">
        <f t="shared" si="50"/>
        <v>1.033828046205584</v>
      </c>
      <c r="I70" s="21">
        <f t="shared" si="50"/>
        <v>1.2500348743299392</v>
      </c>
      <c r="J70" s="21">
        <f t="shared" si="50"/>
        <v>1.3597554459509027</v>
      </c>
      <c r="K70" s="21">
        <f t="shared" si="50"/>
        <v>1.5753218224783478</v>
      </c>
      <c r="L70" s="21">
        <f t="shared" si="50"/>
        <v>1.687105656507917</v>
      </c>
      <c r="M70" s="21">
        <f t="shared" si="50"/>
        <v>1.9055592034658675</v>
      </c>
      <c r="N70" s="21">
        <f t="shared" si="50"/>
        <v>2.019362235331621</v>
      </c>
      <c r="O70">
        <f t="shared" si="35"/>
        <v>2.1656184536685497</v>
      </c>
      <c r="P70">
        <f t="shared" si="39"/>
        <v>2.3224240808857202</v>
      </c>
      <c r="Q70">
        <f t="shared" si="39"/>
        <v>2.4905365787397802</v>
      </c>
      <c r="R70">
        <f t="shared" si="39"/>
        <v>2.670767518449884</v>
      </c>
      <c r="S70">
        <f t="shared" si="39"/>
        <v>2.8639864236914763</v>
      </c>
      <c r="T70">
        <f t="shared" si="39"/>
        <v>2.985419073984299</v>
      </c>
      <c r="U70">
        <f t="shared" si="39"/>
        <v>3.1119402407311005</v>
      </c>
      <c r="V70">
        <f t="shared" ref="P70:AM79" si="51">$N70*V$54/$N$54</f>
        <v>3.2437601510654988</v>
      </c>
      <c r="W70">
        <f t="shared" si="51"/>
        <v>3.3810975655969484</v>
      </c>
      <c r="X70">
        <f t="shared" si="51"/>
        <v>3.524180116991209</v>
      </c>
      <c r="Y70">
        <f t="shared" si="51"/>
        <v>3.6349311306239191</v>
      </c>
      <c r="Z70">
        <f t="shared" si="51"/>
        <v>3.7233977332194916</v>
      </c>
      <c r="AA70">
        <f t="shared" si="51"/>
        <v>3.7934423285967123</v>
      </c>
      <c r="AB70">
        <f t="shared" si="51"/>
        <v>3.8482581227549497</v>
      </c>
      <c r="AC70">
        <f t="shared" si="51"/>
        <v>3.8904850276624026</v>
      </c>
      <c r="AD70">
        <f t="shared" si="51"/>
        <v>3.9223054975733072</v>
      </c>
      <c r="AE70">
        <f t="shared" si="51"/>
        <v>3.9455237711948072</v>
      </c>
      <c r="AF70">
        <f t="shared" si="51"/>
        <v>3.9616313920450192</v>
      </c>
      <c r="AG70">
        <f t="shared" si="51"/>
        <v>3.9718613823186635</v>
      </c>
      <c r="AH70">
        <f t="shared" si="51"/>
        <v>3.9772330345293452</v>
      </c>
      <c r="AI70">
        <f t="shared" si="51"/>
        <v>3.9785889452597063</v>
      </c>
      <c r="AJ70">
        <f t="shared" si="51"/>
        <v>3.9766256342243103</v>
      </c>
      <c r="AK70">
        <f t="shared" si="51"/>
        <v>3.971918859363551</v>
      </c>
      <c r="AL70">
        <f t="shared" si="51"/>
        <v>3.9649445464271182</v>
      </c>
      <c r="AM70">
        <f t="shared" si="51"/>
        <v>3.9560960925143611</v>
      </c>
    </row>
    <row r="71" spans="1:39" x14ac:dyDescent="0.2">
      <c r="A71" s="5" t="s">
        <v>23</v>
      </c>
      <c r="B71" s="2" t="s">
        <v>36</v>
      </c>
      <c r="C71" s="21">
        <v>1</v>
      </c>
      <c r="D71" s="21">
        <v>1</v>
      </c>
      <c r="E71" s="21">
        <f t="shared" ref="E71:N71" si="52">E19*E$54/E$2</f>
        <v>1.1137941414445065</v>
      </c>
      <c r="F71" s="21">
        <f t="shared" si="52"/>
        <v>1.2231361704652131</v>
      </c>
      <c r="G71" s="21">
        <f t="shared" si="52"/>
        <v>1.3342766811003335</v>
      </c>
      <c r="H71" s="21">
        <f t="shared" si="52"/>
        <v>1.3439764600672592</v>
      </c>
      <c r="I71" s="21">
        <f t="shared" si="52"/>
        <v>1.4583740200515956</v>
      </c>
      <c r="J71" s="21">
        <f t="shared" si="52"/>
        <v>1.5689485914818107</v>
      </c>
      <c r="K71" s="21">
        <f t="shared" si="52"/>
        <v>1.6803432773102378</v>
      </c>
      <c r="L71" s="21">
        <f t="shared" si="52"/>
        <v>1.7925497600396616</v>
      </c>
      <c r="M71" s="21">
        <f t="shared" si="52"/>
        <v>1.9055592034658675</v>
      </c>
      <c r="N71" s="21">
        <f t="shared" si="52"/>
        <v>2.019362235331621</v>
      </c>
      <c r="O71">
        <f t="shared" si="35"/>
        <v>2.1656184536685497</v>
      </c>
      <c r="P71">
        <f t="shared" si="51"/>
        <v>2.3224240808857202</v>
      </c>
      <c r="Q71">
        <f t="shared" si="51"/>
        <v>2.4905365787397802</v>
      </c>
      <c r="R71">
        <f t="shared" si="51"/>
        <v>2.670767518449884</v>
      </c>
      <c r="S71">
        <f t="shared" si="51"/>
        <v>2.8639864236914763</v>
      </c>
      <c r="T71">
        <f t="shared" si="51"/>
        <v>2.985419073984299</v>
      </c>
      <c r="U71">
        <f t="shared" si="51"/>
        <v>3.1119402407311005</v>
      </c>
      <c r="V71">
        <f t="shared" si="51"/>
        <v>3.2437601510654988</v>
      </c>
      <c r="W71">
        <f t="shared" si="51"/>
        <v>3.3810975655969484</v>
      </c>
      <c r="X71">
        <f t="shared" si="51"/>
        <v>3.524180116991209</v>
      </c>
      <c r="Y71">
        <f t="shared" si="51"/>
        <v>3.6349311306239191</v>
      </c>
      <c r="Z71">
        <f t="shared" si="51"/>
        <v>3.7233977332194916</v>
      </c>
      <c r="AA71">
        <f t="shared" si="51"/>
        <v>3.7934423285967123</v>
      </c>
      <c r="AB71">
        <f t="shared" si="51"/>
        <v>3.8482581227549497</v>
      </c>
      <c r="AC71">
        <f t="shared" si="51"/>
        <v>3.8904850276624026</v>
      </c>
      <c r="AD71">
        <f t="shared" si="51"/>
        <v>3.9223054975733072</v>
      </c>
      <c r="AE71">
        <f t="shared" si="51"/>
        <v>3.9455237711948072</v>
      </c>
      <c r="AF71">
        <f t="shared" si="51"/>
        <v>3.9616313920450192</v>
      </c>
      <c r="AG71">
        <f t="shared" si="51"/>
        <v>3.9718613823186635</v>
      </c>
      <c r="AH71">
        <f t="shared" si="51"/>
        <v>3.9772330345293452</v>
      </c>
      <c r="AI71">
        <f t="shared" si="51"/>
        <v>3.9785889452597063</v>
      </c>
      <c r="AJ71">
        <f t="shared" si="51"/>
        <v>3.9766256342243103</v>
      </c>
      <c r="AK71">
        <f t="shared" si="51"/>
        <v>3.971918859363551</v>
      </c>
      <c r="AL71">
        <f t="shared" si="51"/>
        <v>3.9649445464271182</v>
      </c>
      <c r="AM71">
        <f t="shared" si="51"/>
        <v>3.9560960925143611</v>
      </c>
    </row>
    <row r="72" spans="1:39" x14ac:dyDescent="0.2">
      <c r="A72" s="2" t="s">
        <v>24</v>
      </c>
      <c r="B72" s="2" t="s">
        <v>36</v>
      </c>
      <c r="C72" s="23">
        <v>0.5</v>
      </c>
      <c r="D72" s="23">
        <v>0.6</v>
      </c>
      <c r="E72" s="21">
        <f t="shared" ref="E72:N72" si="53">E20*E$54/E$2</f>
        <v>0.70877809001014036</v>
      </c>
      <c r="F72" s="21">
        <f t="shared" si="53"/>
        <v>0.81542411364347533</v>
      </c>
      <c r="G72" s="21">
        <f t="shared" si="53"/>
        <v>0.92373000999253863</v>
      </c>
      <c r="H72" s="21">
        <f t="shared" si="53"/>
        <v>1.1372108508261425</v>
      </c>
      <c r="I72" s="21">
        <f t="shared" si="53"/>
        <v>1.2500348743299392</v>
      </c>
      <c r="J72" s="21">
        <f t="shared" si="53"/>
        <v>1.3597554459509027</v>
      </c>
      <c r="K72" s="21">
        <f t="shared" si="53"/>
        <v>1.4703003676464579</v>
      </c>
      <c r="L72" s="21">
        <f t="shared" si="53"/>
        <v>1.687105656507917</v>
      </c>
      <c r="M72" s="21">
        <f t="shared" si="53"/>
        <v>1.7996948032733193</v>
      </c>
      <c r="N72" s="21">
        <f t="shared" si="53"/>
        <v>2.019362235331621</v>
      </c>
      <c r="O72">
        <f t="shared" si="35"/>
        <v>2.1656184536685497</v>
      </c>
      <c r="P72">
        <f t="shared" si="51"/>
        <v>2.3224240808857202</v>
      </c>
      <c r="Q72">
        <f t="shared" si="51"/>
        <v>2.4905365787397802</v>
      </c>
      <c r="R72">
        <f t="shared" si="51"/>
        <v>2.670767518449884</v>
      </c>
      <c r="S72">
        <f t="shared" si="51"/>
        <v>2.8639864236914763</v>
      </c>
      <c r="T72">
        <f t="shared" si="51"/>
        <v>2.985419073984299</v>
      </c>
      <c r="U72">
        <f t="shared" si="51"/>
        <v>3.1119402407311005</v>
      </c>
      <c r="V72">
        <f t="shared" si="51"/>
        <v>3.2437601510654988</v>
      </c>
      <c r="W72">
        <f t="shared" si="51"/>
        <v>3.3810975655969484</v>
      </c>
      <c r="X72">
        <f t="shared" si="51"/>
        <v>3.524180116991209</v>
      </c>
      <c r="Y72">
        <f t="shared" si="51"/>
        <v>3.6349311306239191</v>
      </c>
      <c r="Z72">
        <f t="shared" si="51"/>
        <v>3.7233977332194916</v>
      </c>
      <c r="AA72">
        <f t="shared" si="51"/>
        <v>3.7934423285967123</v>
      </c>
      <c r="AB72">
        <f t="shared" si="51"/>
        <v>3.8482581227549497</v>
      </c>
      <c r="AC72">
        <f t="shared" si="51"/>
        <v>3.8904850276624026</v>
      </c>
      <c r="AD72">
        <f t="shared" si="51"/>
        <v>3.9223054975733072</v>
      </c>
      <c r="AE72">
        <f t="shared" si="51"/>
        <v>3.9455237711948072</v>
      </c>
      <c r="AF72">
        <f t="shared" si="51"/>
        <v>3.9616313920450192</v>
      </c>
      <c r="AG72">
        <f t="shared" si="51"/>
        <v>3.9718613823186635</v>
      </c>
      <c r="AH72">
        <f t="shared" si="51"/>
        <v>3.9772330345293452</v>
      </c>
      <c r="AI72">
        <f t="shared" si="51"/>
        <v>3.9785889452597063</v>
      </c>
      <c r="AJ72">
        <f t="shared" si="51"/>
        <v>3.9766256342243103</v>
      </c>
      <c r="AK72">
        <f t="shared" si="51"/>
        <v>3.971918859363551</v>
      </c>
      <c r="AL72">
        <f t="shared" si="51"/>
        <v>3.9649445464271182</v>
      </c>
      <c r="AM72">
        <f t="shared" si="51"/>
        <v>3.9560960925143611</v>
      </c>
    </row>
    <row r="73" spans="1:39" x14ac:dyDescent="0.2">
      <c r="A73" s="5" t="s">
        <v>25</v>
      </c>
      <c r="B73" s="2" t="s">
        <v>36</v>
      </c>
      <c r="C73" s="21">
        <v>0.5</v>
      </c>
      <c r="D73" s="21">
        <v>0.6</v>
      </c>
      <c r="E73" s="21">
        <f t="shared" ref="E73:N73" si="54">E21*E$54/E$2</f>
        <v>0.70877809001014036</v>
      </c>
      <c r="F73" s="21">
        <f t="shared" si="54"/>
        <v>0.81542411364347533</v>
      </c>
      <c r="G73" s="21">
        <f t="shared" si="54"/>
        <v>0.92373000999253863</v>
      </c>
      <c r="H73" s="21">
        <f t="shared" si="54"/>
        <v>1.033828046205584</v>
      </c>
      <c r="I73" s="21">
        <f t="shared" si="54"/>
        <v>1.1458653014691109</v>
      </c>
      <c r="J73" s="21">
        <f t="shared" si="54"/>
        <v>1.2551588731854486</v>
      </c>
      <c r="K73" s="21">
        <f t="shared" si="54"/>
        <v>1.3652789128145681</v>
      </c>
      <c r="L73" s="21">
        <f t="shared" si="54"/>
        <v>1.4762174494444271</v>
      </c>
      <c r="M73" s="21">
        <f t="shared" si="54"/>
        <v>1.587966002888223</v>
      </c>
      <c r="N73" s="21">
        <f t="shared" si="54"/>
        <v>1.8067977895072398</v>
      </c>
      <c r="O73">
        <f t="shared" si="35"/>
        <v>1.9376586164402814</v>
      </c>
      <c r="P73">
        <f t="shared" si="51"/>
        <v>2.0779583881609076</v>
      </c>
      <c r="Q73">
        <f t="shared" si="51"/>
        <v>2.2283748336092772</v>
      </c>
      <c r="R73">
        <f t="shared" si="51"/>
        <v>2.3896340954551598</v>
      </c>
      <c r="S73">
        <f t="shared" si="51"/>
        <v>2.5625141685660582</v>
      </c>
      <c r="T73">
        <f t="shared" si="51"/>
        <v>2.6711644346175305</v>
      </c>
      <c r="U73">
        <f t="shared" si="51"/>
        <v>2.7843675838120374</v>
      </c>
      <c r="V73">
        <f t="shared" si="51"/>
        <v>2.9023117141112356</v>
      </c>
      <c r="W73">
        <f t="shared" si="51"/>
        <v>3.025192558692007</v>
      </c>
      <c r="X73">
        <f t="shared" si="51"/>
        <v>3.153213788886871</v>
      </c>
      <c r="Y73">
        <f t="shared" si="51"/>
        <v>3.2523068010845586</v>
      </c>
      <c r="Z73">
        <f t="shared" si="51"/>
        <v>3.3314611297227028</v>
      </c>
      <c r="AA73">
        <f t="shared" si="51"/>
        <v>3.3941326097970581</v>
      </c>
      <c r="AB73">
        <f t="shared" si="51"/>
        <v>3.4431783203596917</v>
      </c>
      <c r="AC73">
        <f t="shared" si="51"/>
        <v>3.4809602879084656</v>
      </c>
      <c r="AD73">
        <f t="shared" si="51"/>
        <v>3.5094312346708536</v>
      </c>
      <c r="AE73">
        <f t="shared" si="51"/>
        <v>3.5302054794900912</v>
      </c>
      <c r="AF73">
        <f t="shared" si="51"/>
        <v>3.5446175613034381</v>
      </c>
      <c r="AG73">
        <f t="shared" si="51"/>
        <v>3.5537707104956464</v>
      </c>
      <c r="AH73">
        <f t="shared" si="51"/>
        <v>3.5585769256315194</v>
      </c>
      <c r="AI73">
        <f t="shared" si="51"/>
        <v>3.5597901089165793</v>
      </c>
      <c r="AJ73">
        <f t="shared" si="51"/>
        <v>3.5580334622006982</v>
      </c>
      <c r="AK73">
        <f t="shared" si="51"/>
        <v>3.5538221373252825</v>
      </c>
      <c r="AL73">
        <f t="shared" si="51"/>
        <v>3.5475819625926848</v>
      </c>
      <c r="AM73">
        <f t="shared" si="51"/>
        <v>3.5396649248812708</v>
      </c>
    </row>
    <row r="74" spans="1:39" x14ac:dyDescent="0.2">
      <c r="A74" s="2" t="s">
        <v>26</v>
      </c>
      <c r="B74" s="2" t="s">
        <v>36</v>
      </c>
      <c r="C74" s="23">
        <v>0.6</v>
      </c>
      <c r="D74" s="23">
        <v>0.6</v>
      </c>
      <c r="E74" s="21">
        <f t="shared" ref="E74:N74" si="55">E22*E$54/E$2</f>
        <v>0.70877809001014036</v>
      </c>
      <c r="F74" s="21">
        <f t="shared" si="55"/>
        <v>0.71349609943804093</v>
      </c>
      <c r="G74" s="21">
        <f t="shared" si="55"/>
        <v>0.82109334221558994</v>
      </c>
      <c r="H74" s="21">
        <f t="shared" si="55"/>
        <v>0.93044524158502562</v>
      </c>
      <c r="I74" s="21">
        <f t="shared" si="55"/>
        <v>0.93752615574745435</v>
      </c>
      <c r="J74" s="21">
        <f t="shared" si="55"/>
        <v>1.0459657276545404</v>
      </c>
      <c r="K74" s="21">
        <f t="shared" si="55"/>
        <v>1.1552360031507884</v>
      </c>
      <c r="L74" s="21">
        <f t="shared" si="55"/>
        <v>1.1598851388491931</v>
      </c>
      <c r="M74" s="21">
        <f t="shared" si="55"/>
        <v>1.2703728023105783</v>
      </c>
      <c r="N74" s="21">
        <f t="shared" si="55"/>
        <v>1.3816688978584775</v>
      </c>
      <c r="O74">
        <f t="shared" si="35"/>
        <v>1.4817389419837443</v>
      </c>
      <c r="P74">
        <f t="shared" si="51"/>
        <v>1.5890270027112823</v>
      </c>
      <c r="Q74">
        <f t="shared" si="51"/>
        <v>1.7040513433482709</v>
      </c>
      <c r="R74">
        <f t="shared" si="51"/>
        <v>1.8273672494657103</v>
      </c>
      <c r="S74">
        <f t="shared" si="51"/>
        <v>1.9595696583152207</v>
      </c>
      <c r="T74">
        <f t="shared" si="51"/>
        <v>2.0426551558839936</v>
      </c>
      <c r="U74">
        <f t="shared" si="51"/>
        <v>2.1292222699739107</v>
      </c>
      <c r="V74">
        <f t="shared" si="51"/>
        <v>2.2194148402027096</v>
      </c>
      <c r="W74">
        <f t="shared" si="51"/>
        <v>2.3133825448821228</v>
      </c>
      <c r="X74">
        <f t="shared" si="51"/>
        <v>2.4112811326781953</v>
      </c>
      <c r="Y74">
        <f t="shared" si="51"/>
        <v>2.4870581420058393</v>
      </c>
      <c r="Z74">
        <f t="shared" si="51"/>
        <v>2.547587922729126</v>
      </c>
      <c r="AA74">
        <f t="shared" si="51"/>
        <v>2.5955131721977502</v>
      </c>
      <c r="AB74">
        <f t="shared" si="51"/>
        <v>2.6330187155691762</v>
      </c>
      <c r="AC74">
        <f t="shared" si="51"/>
        <v>2.6619108084005916</v>
      </c>
      <c r="AD74">
        <f t="shared" si="51"/>
        <v>2.683682708865947</v>
      </c>
      <c r="AE74">
        <f t="shared" si="51"/>
        <v>2.6995688960806574</v>
      </c>
      <c r="AF74">
        <f t="shared" si="51"/>
        <v>2.7105898998202762</v>
      </c>
      <c r="AG74">
        <f t="shared" si="51"/>
        <v>2.7175893668496123</v>
      </c>
      <c r="AH74">
        <f t="shared" si="51"/>
        <v>2.7212647078358678</v>
      </c>
      <c r="AI74">
        <f t="shared" si="51"/>
        <v>2.7221924362303254</v>
      </c>
      <c r="AJ74">
        <f t="shared" si="51"/>
        <v>2.7208491181534749</v>
      </c>
      <c r="AK74">
        <f t="shared" si="51"/>
        <v>2.7176286932487455</v>
      </c>
      <c r="AL74">
        <f t="shared" si="51"/>
        <v>2.7128567949238178</v>
      </c>
      <c r="AM74">
        <f t="shared" si="51"/>
        <v>2.7068025896150889</v>
      </c>
    </row>
    <row r="75" spans="1:39" x14ac:dyDescent="0.2">
      <c r="A75" s="5" t="s">
        <v>27</v>
      </c>
      <c r="B75" s="2" t="s">
        <v>36</v>
      </c>
      <c r="C75" s="21">
        <v>0.6</v>
      </c>
      <c r="D75" s="21">
        <v>0.7</v>
      </c>
      <c r="E75" s="21">
        <f t="shared" ref="E75:N75" si="56">E23*E$54/E$2</f>
        <v>0.70877809001014036</v>
      </c>
      <c r="F75" s="21">
        <f t="shared" si="56"/>
        <v>0.81542411364347533</v>
      </c>
      <c r="G75" s="21">
        <f t="shared" si="56"/>
        <v>0.82109334221558994</v>
      </c>
      <c r="H75" s="21">
        <f t="shared" si="56"/>
        <v>0.93044524158502562</v>
      </c>
      <c r="I75" s="21">
        <f t="shared" si="56"/>
        <v>0.93752615574745435</v>
      </c>
      <c r="J75" s="21">
        <f t="shared" si="56"/>
        <v>1.0459657276545404</v>
      </c>
      <c r="K75" s="21">
        <f t="shared" si="56"/>
        <v>1.1552360031507884</v>
      </c>
      <c r="L75" s="21">
        <f t="shared" si="56"/>
        <v>1.1598851388491931</v>
      </c>
      <c r="M75" s="21">
        <f t="shared" si="56"/>
        <v>1.2703728023105783</v>
      </c>
      <c r="N75" s="21">
        <f t="shared" si="56"/>
        <v>1.275386674946287</v>
      </c>
      <c r="O75">
        <f t="shared" si="35"/>
        <v>1.3677590233696104</v>
      </c>
      <c r="P75">
        <f t="shared" si="51"/>
        <v>1.466794156348876</v>
      </c>
      <c r="Q75">
        <f t="shared" si="51"/>
        <v>1.5729704707830192</v>
      </c>
      <c r="R75">
        <f t="shared" si="51"/>
        <v>1.6868005379683482</v>
      </c>
      <c r="S75">
        <f t="shared" si="51"/>
        <v>1.8088335307525114</v>
      </c>
      <c r="T75">
        <f t="shared" si="51"/>
        <v>1.8855278362006098</v>
      </c>
      <c r="U75">
        <f t="shared" si="51"/>
        <v>1.9654359415143794</v>
      </c>
      <c r="V75">
        <f t="shared" si="51"/>
        <v>2.0486906217255783</v>
      </c>
      <c r="W75">
        <f t="shared" si="51"/>
        <v>2.1354300414296521</v>
      </c>
      <c r="X75">
        <f t="shared" si="51"/>
        <v>2.2257979686260265</v>
      </c>
      <c r="Y75">
        <f t="shared" si="51"/>
        <v>2.2957459772361593</v>
      </c>
      <c r="Z75">
        <f t="shared" si="51"/>
        <v>2.3516196209807316</v>
      </c>
      <c r="AA75">
        <f t="shared" si="51"/>
        <v>2.3958583127979236</v>
      </c>
      <c r="AB75">
        <f t="shared" si="51"/>
        <v>2.4304788143715474</v>
      </c>
      <c r="AC75">
        <f t="shared" si="51"/>
        <v>2.4571484385236229</v>
      </c>
      <c r="AD75">
        <f t="shared" si="51"/>
        <v>2.4772455774147204</v>
      </c>
      <c r="AE75">
        <f t="shared" si="51"/>
        <v>2.4919097502282992</v>
      </c>
      <c r="AF75">
        <f t="shared" si="51"/>
        <v>2.5020829844494861</v>
      </c>
      <c r="AG75">
        <f t="shared" si="51"/>
        <v>2.5085440309381037</v>
      </c>
      <c r="AH75">
        <f t="shared" si="51"/>
        <v>2.5119366533869547</v>
      </c>
      <c r="AI75">
        <f t="shared" si="51"/>
        <v>2.5127930180587619</v>
      </c>
      <c r="AJ75">
        <f t="shared" si="51"/>
        <v>2.5115530321416695</v>
      </c>
      <c r="AK75">
        <f t="shared" si="51"/>
        <v>2.5085803322296116</v>
      </c>
      <c r="AL75">
        <f t="shared" si="51"/>
        <v>2.5041755030066009</v>
      </c>
      <c r="AM75">
        <f t="shared" si="51"/>
        <v>2.4985870057985444</v>
      </c>
    </row>
    <row r="76" spans="1:39" x14ac:dyDescent="0.2">
      <c r="A76" s="2" t="s">
        <v>28</v>
      </c>
      <c r="B76" s="2" t="s">
        <v>36</v>
      </c>
      <c r="C76" s="23">
        <v>0.5</v>
      </c>
      <c r="D76" s="23">
        <v>0.6</v>
      </c>
      <c r="E76" s="21">
        <f t="shared" ref="E76:N76" si="57">E24*E$54/E$2</f>
        <v>0.60752407715154899</v>
      </c>
      <c r="F76" s="21">
        <f t="shared" si="57"/>
        <v>0.71349609943804093</v>
      </c>
      <c r="G76" s="21">
        <f t="shared" si="57"/>
        <v>0.71845667443864103</v>
      </c>
      <c r="H76" s="21">
        <f t="shared" si="57"/>
        <v>0.82706243696446724</v>
      </c>
      <c r="I76" s="21">
        <f t="shared" si="57"/>
        <v>0.93752615574745435</v>
      </c>
      <c r="J76" s="21">
        <f t="shared" si="57"/>
        <v>0.94136915488908646</v>
      </c>
      <c r="K76" s="21">
        <f t="shared" si="57"/>
        <v>1.0502145483188985</v>
      </c>
      <c r="L76" s="21">
        <f t="shared" si="57"/>
        <v>1.1598851388491931</v>
      </c>
      <c r="M76" s="21">
        <f t="shared" si="57"/>
        <v>1.1645084021180303</v>
      </c>
      <c r="N76" s="21">
        <f t="shared" si="57"/>
        <v>1.275386674946287</v>
      </c>
      <c r="O76">
        <f t="shared" si="35"/>
        <v>1.3677590233696104</v>
      </c>
      <c r="P76">
        <f t="shared" si="51"/>
        <v>1.466794156348876</v>
      </c>
      <c r="Q76">
        <f t="shared" si="51"/>
        <v>1.5729704707830192</v>
      </c>
      <c r="R76">
        <f t="shared" si="51"/>
        <v>1.6868005379683482</v>
      </c>
      <c r="S76">
        <f t="shared" si="51"/>
        <v>1.8088335307525114</v>
      </c>
      <c r="T76">
        <f t="shared" si="51"/>
        <v>1.8855278362006098</v>
      </c>
      <c r="U76">
        <f t="shared" si="51"/>
        <v>1.9654359415143794</v>
      </c>
      <c r="V76">
        <f t="shared" si="51"/>
        <v>2.0486906217255783</v>
      </c>
      <c r="W76">
        <f t="shared" si="51"/>
        <v>2.1354300414296521</v>
      </c>
      <c r="X76">
        <f t="shared" si="51"/>
        <v>2.2257979686260265</v>
      </c>
      <c r="Y76">
        <f t="shared" si="51"/>
        <v>2.2957459772361593</v>
      </c>
      <c r="Z76">
        <f t="shared" si="51"/>
        <v>2.3516196209807316</v>
      </c>
      <c r="AA76">
        <f t="shared" si="51"/>
        <v>2.3958583127979236</v>
      </c>
      <c r="AB76">
        <f t="shared" si="51"/>
        <v>2.4304788143715474</v>
      </c>
      <c r="AC76">
        <f t="shared" si="51"/>
        <v>2.4571484385236229</v>
      </c>
      <c r="AD76">
        <f t="shared" si="51"/>
        <v>2.4772455774147204</v>
      </c>
      <c r="AE76">
        <f t="shared" si="51"/>
        <v>2.4919097502282992</v>
      </c>
      <c r="AF76">
        <f t="shared" si="51"/>
        <v>2.5020829844494861</v>
      </c>
      <c r="AG76">
        <f t="shared" si="51"/>
        <v>2.5085440309381037</v>
      </c>
      <c r="AH76">
        <f t="shared" si="51"/>
        <v>2.5119366533869547</v>
      </c>
      <c r="AI76">
        <f t="shared" si="51"/>
        <v>2.5127930180587619</v>
      </c>
      <c r="AJ76">
        <f t="shared" si="51"/>
        <v>2.5115530321416695</v>
      </c>
      <c r="AK76">
        <f t="shared" si="51"/>
        <v>2.5085803322296116</v>
      </c>
      <c r="AL76">
        <f t="shared" si="51"/>
        <v>2.5041755030066009</v>
      </c>
      <c r="AM76">
        <f t="shared" si="51"/>
        <v>2.4985870057985444</v>
      </c>
    </row>
    <row r="77" spans="1:39" x14ac:dyDescent="0.2">
      <c r="A77" s="5" t="s">
        <v>29</v>
      </c>
      <c r="B77" s="2" t="s">
        <v>36</v>
      </c>
      <c r="C77" s="21">
        <v>0.4</v>
      </c>
      <c r="D77" s="21">
        <v>0.5</v>
      </c>
      <c r="E77" s="21">
        <f t="shared" ref="E77:N77" si="58">E25*E$54/E$2</f>
        <v>0.50627006429295751</v>
      </c>
      <c r="F77" s="21">
        <f t="shared" si="58"/>
        <v>0.50964007102717213</v>
      </c>
      <c r="G77" s="21">
        <f t="shared" si="58"/>
        <v>0.61582000666169234</v>
      </c>
      <c r="H77" s="21">
        <f t="shared" si="58"/>
        <v>0.62029682772335037</v>
      </c>
      <c r="I77" s="21">
        <f t="shared" si="58"/>
        <v>0.72918701002579778</v>
      </c>
      <c r="J77" s="21">
        <f t="shared" si="58"/>
        <v>0.73217600935817839</v>
      </c>
      <c r="K77" s="21">
        <f t="shared" si="58"/>
        <v>0.8401716386551189</v>
      </c>
      <c r="L77" s="21">
        <f t="shared" si="58"/>
        <v>0.8435528282539585</v>
      </c>
      <c r="M77" s="21">
        <f t="shared" si="58"/>
        <v>0.95277960173293375</v>
      </c>
      <c r="N77" s="21">
        <f t="shared" si="58"/>
        <v>0.95654000620971524</v>
      </c>
      <c r="O77">
        <f t="shared" si="35"/>
        <v>1.0258192675272078</v>
      </c>
      <c r="P77">
        <f t="shared" si="51"/>
        <v>1.1000956172616569</v>
      </c>
      <c r="Q77">
        <f t="shared" si="51"/>
        <v>1.1797278530872646</v>
      </c>
      <c r="R77">
        <f t="shared" si="51"/>
        <v>1.265100403476261</v>
      </c>
      <c r="S77">
        <f t="shared" si="51"/>
        <v>1.3566251480643836</v>
      </c>
      <c r="T77">
        <f t="shared" si="51"/>
        <v>1.4141458771504574</v>
      </c>
      <c r="U77">
        <f t="shared" si="51"/>
        <v>1.4740769561357845</v>
      </c>
      <c r="V77">
        <f t="shared" si="51"/>
        <v>1.5365179662941837</v>
      </c>
      <c r="W77">
        <f t="shared" si="51"/>
        <v>1.6015725310722388</v>
      </c>
      <c r="X77">
        <f t="shared" si="51"/>
        <v>1.6693484764695201</v>
      </c>
      <c r="Y77">
        <f t="shared" si="51"/>
        <v>1.7218094829271196</v>
      </c>
      <c r="Z77">
        <f t="shared" si="51"/>
        <v>1.7637147157355488</v>
      </c>
      <c r="AA77">
        <f t="shared" si="51"/>
        <v>1.7968937345984426</v>
      </c>
      <c r="AB77">
        <f t="shared" si="51"/>
        <v>1.8228591107786607</v>
      </c>
      <c r="AC77">
        <f t="shared" si="51"/>
        <v>1.8428613288927174</v>
      </c>
      <c r="AD77">
        <f t="shared" si="51"/>
        <v>1.8579341830610401</v>
      </c>
      <c r="AE77">
        <f t="shared" si="51"/>
        <v>1.8689323126712245</v>
      </c>
      <c r="AF77">
        <f t="shared" si="51"/>
        <v>1.8765622383371143</v>
      </c>
      <c r="AG77">
        <f t="shared" si="51"/>
        <v>1.8814080232035777</v>
      </c>
      <c r="AH77">
        <f t="shared" si="51"/>
        <v>1.8839524900402163</v>
      </c>
      <c r="AI77">
        <f t="shared" si="51"/>
        <v>1.8845947635440714</v>
      </c>
      <c r="AJ77">
        <f t="shared" si="51"/>
        <v>1.8836647741062522</v>
      </c>
      <c r="AK77">
        <f t="shared" si="51"/>
        <v>1.8814352491722086</v>
      </c>
      <c r="AL77">
        <f t="shared" si="51"/>
        <v>1.8781316272549509</v>
      </c>
      <c r="AM77">
        <f t="shared" si="51"/>
        <v>1.8739402543489081</v>
      </c>
    </row>
    <row r="78" spans="1:39" x14ac:dyDescent="0.2">
      <c r="A78" s="2" t="s">
        <v>30</v>
      </c>
      <c r="B78" s="2" t="s">
        <v>36</v>
      </c>
      <c r="C78" s="23">
        <v>0.3</v>
      </c>
      <c r="D78" s="23">
        <v>0.4</v>
      </c>
      <c r="E78" s="21">
        <f t="shared" ref="E78:N79" si="59">E26*E$54/E$2</f>
        <v>0.40501605143436598</v>
      </c>
      <c r="F78" s="21">
        <f t="shared" si="59"/>
        <v>0.50964007102717213</v>
      </c>
      <c r="G78" s="21">
        <f t="shared" si="59"/>
        <v>0.51318333888474366</v>
      </c>
      <c r="H78" s="21">
        <f t="shared" si="59"/>
        <v>0.516914023102792</v>
      </c>
      <c r="I78" s="21">
        <f t="shared" si="59"/>
        <v>0.6250174371649696</v>
      </c>
      <c r="J78" s="21">
        <f t="shared" si="59"/>
        <v>0.6275794365927243</v>
      </c>
      <c r="K78" s="21">
        <f t="shared" si="59"/>
        <v>0.73515018382322894</v>
      </c>
      <c r="L78" s="21">
        <f t="shared" si="59"/>
        <v>0.73810872472221356</v>
      </c>
      <c r="M78" s="21">
        <f t="shared" si="59"/>
        <v>0.84691520154038569</v>
      </c>
      <c r="N78" s="21">
        <f t="shared" si="59"/>
        <v>0.85025778329752466</v>
      </c>
      <c r="O78">
        <f t="shared" si="35"/>
        <v>0.9118393489130735</v>
      </c>
      <c r="P78">
        <f t="shared" si="51"/>
        <v>0.97786277089925056</v>
      </c>
      <c r="Q78">
        <f t="shared" si="51"/>
        <v>1.0486469805220129</v>
      </c>
      <c r="R78">
        <f t="shared" si="51"/>
        <v>1.1245336919788989</v>
      </c>
      <c r="S78">
        <f t="shared" si="51"/>
        <v>1.2058890205016743</v>
      </c>
      <c r="T78">
        <f t="shared" si="51"/>
        <v>1.2570185574670734</v>
      </c>
      <c r="U78">
        <f t="shared" si="51"/>
        <v>1.3102906276762529</v>
      </c>
      <c r="V78">
        <f t="shared" si="51"/>
        <v>1.3657937478170523</v>
      </c>
      <c r="W78">
        <f t="shared" si="51"/>
        <v>1.4236200276197681</v>
      </c>
      <c r="X78">
        <f t="shared" si="51"/>
        <v>1.4838653124173511</v>
      </c>
      <c r="Y78">
        <f t="shared" si="51"/>
        <v>1.5304973181574397</v>
      </c>
      <c r="Z78">
        <f t="shared" si="51"/>
        <v>1.5677464139871544</v>
      </c>
      <c r="AA78">
        <f t="shared" si="51"/>
        <v>1.597238875198616</v>
      </c>
      <c r="AB78">
        <f t="shared" si="51"/>
        <v>1.6203192095810317</v>
      </c>
      <c r="AC78">
        <f t="shared" si="51"/>
        <v>1.6380989590157486</v>
      </c>
      <c r="AD78">
        <f t="shared" si="51"/>
        <v>1.6514970516098135</v>
      </c>
      <c r="AE78">
        <f t="shared" si="51"/>
        <v>1.6612731668188665</v>
      </c>
      <c r="AF78">
        <f t="shared" si="51"/>
        <v>1.668055322966324</v>
      </c>
      <c r="AG78">
        <f t="shared" si="51"/>
        <v>1.6723626872920692</v>
      </c>
      <c r="AH78">
        <f t="shared" si="51"/>
        <v>1.6746244355913034</v>
      </c>
      <c r="AI78">
        <f t="shared" si="51"/>
        <v>1.6751953453725079</v>
      </c>
      <c r="AJ78">
        <f t="shared" si="51"/>
        <v>1.6743686880944464</v>
      </c>
      <c r="AK78">
        <f t="shared" si="51"/>
        <v>1.6723868881530741</v>
      </c>
      <c r="AL78">
        <f t="shared" si="51"/>
        <v>1.6694503353377341</v>
      </c>
      <c r="AM78">
        <f t="shared" si="51"/>
        <v>1.6657246705323627</v>
      </c>
    </row>
    <row r="79" spans="1:39" s="12" customFormat="1" x14ac:dyDescent="0.2">
      <c r="A79" s="11" t="s">
        <v>33</v>
      </c>
      <c r="B79" s="2" t="s">
        <v>36</v>
      </c>
      <c r="C79" s="20">
        <v>9.9999999999999992E-2</v>
      </c>
      <c r="D79" s="20">
        <v>0.10454545454545454</v>
      </c>
      <c r="E79" s="21">
        <f t="shared" si="59"/>
        <v>0.12886874363820736</v>
      </c>
      <c r="F79" s="21">
        <f t="shared" si="59"/>
        <v>0.14362583819856667</v>
      </c>
      <c r="G79" s="21">
        <f t="shared" si="59"/>
        <v>0.15862030474619349</v>
      </c>
      <c r="H79" s="21">
        <f t="shared" si="59"/>
        <v>0.17387108049821182</v>
      </c>
      <c r="I79" s="21">
        <f t="shared" si="59"/>
        <v>0.1893992233833241</v>
      </c>
      <c r="J79" s="21">
        <f t="shared" si="59"/>
        <v>0.20443875585975108</v>
      </c>
      <c r="K79" s="21">
        <f t="shared" si="59"/>
        <v>0.21959031464849696</v>
      </c>
      <c r="L79" s="21">
        <f t="shared" si="59"/>
        <v>0.23485277604797708</v>
      </c>
      <c r="M79" s="21">
        <f t="shared" si="59"/>
        <v>0.25022494590965932</v>
      </c>
      <c r="N79" s="21">
        <f t="shared" si="59"/>
        <v>0.26570555728047646</v>
      </c>
      <c r="O79">
        <f t="shared" si="35"/>
        <v>0.28494979653533548</v>
      </c>
      <c r="P79">
        <f t="shared" si="35"/>
        <v>0.30558211590601581</v>
      </c>
      <c r="Q79">
        <f t="shared" si="35"/>
        <v>0.32770218141312907</v>
      </c>
      <c r="R79">
        <f t="shared" si="35"/>
        <v>0.35141677874340582</v>
      </c>
      <c r="S79">
        <f t="shared" si="35"/>
        <v>0.37684031890677328</v>
      </c>
      <c r="T79">
        <f t="shared" si="35"/>
        <v>0.39281829920846034</v>
      </c>
      <c r="U79">
        <f t="shared" si="35"/>
        <v>0.40946582114882907</v>
      </c>
      <c r="V79">
        <f t="shared" si="35"/>
        <v>0.42681054619282882</v>
      </c>
      <c r="W79">
        <f t="shared" si="35"/>
        <v>0.4448812586311775</v>
      </c>
      <c r="X79">
        <f t="shared" si="35"/>
        <v>0.46370791013042223</v>
      </c>
      <c r="Y79">
        <f t="shared" si="35"/>
        <v>0.4782804119241999</v>
      </c>
      <c r="Z79">
        <f t="shared" si="35"/>
        <v>0.48992075437098581</v>
      </c>
      <c r="AA79">
        <f t="shared" si="35"/>
        <v>0.49913714849956736</v>
      </c>
      <c r="AB79">
        <f t="shared" si="35"/>
        <v>0.50634975299407237</v>
      </c>
      <c r="AC79">
        <f t="shared" si="35"/>
        <v>0.51190592469242147</v>
      </c>
      <c r="AD79">
        <f t="shared" si="35"/>
        <v>0.51609282862806671</v>
      </c>
      <c r="AE79">
        <f t="shared" si="51"/>
        <v>0.51914786463089579</v>
      </c>
      <c r="AF79">
        <f t="shared" si="51"/>
        <v>0.52126728842697623</v>
      </c>
      <c r="AG79">
        <f t="shared" si="51"/>
        <v>0.52261333977877156</v>
      </c>
      <c r="AH79">
        <f t="shared" si="51"/>
        <v>0.52332013612228223</v>
      </c>
      <c r="AI79">
        <f t="shared" si="51"/>
        <v>0.52349854542890872</v>
      </c>
      <c r="AJ79">
        <f t="shared" si="51"/>
        <v>0.52324021502951445</v>
      </c>
      <c r="AK79">
        <f t="shared" si="51"/>
        <v>0.52262090254783566</v>
      </c>
      <c r="AL79">
        <f t="shared" si="51"/>
        <v>0.52170322979304184</v>
      </c>
      <c r="AM79">
        <f t="shared" si="51"/>
        <v>0.52053895954136331</v>
      </c>
    </row>
    <row r="80" spans="1:39" s="19" customFormat="1" x14ac:dyDescent="0.2">
      <c r="A80" s="18" t="s">
        <v>4</v>
      </c>
      <c r="B80" s="18" t="s">
        <v>37</v>
      </c>
      <c r="C80" s="22">
        <f>'input_EnBW Model 2026'!C5</f>
        <v>20.028513599999997</v>
      </c>
      <c r="D80" s="22">
        <f>'input_EnBW Model 2026'!D5</f>
        <v>20.799962999999998</v>
      </c>
      <c r="E80" s="22">
        <f>'input_EnBW Model 2026'!E5</f>
        <v>21.597575453999998</v>
      </c>
      <c r="F80" s="22">
        <f>'input_EnBW Model 2026'!F5</f>
        <v>22.421993113799996</v>
      </c>
      <c r="G80" s="22">
        <f>'input_EnBW Model 2026'!G5</f>
        <v>23.273854662239998</v>
      </c>
      <c r="H80" s="22">
        <f>'input_EnBW Model 2026'!H5</f>
        <v>24.153793247099244</v>
      </c>
      <c r="I80" s="22">
        <f>'input_EnBW Model 2026'!I5</f>
        <v>25.062434211366561</v>
      </c>
      <c r="J80" s="22">
        <f>'input_EnBW Model 2026'!J5</f>
        <v>25.836571071165249</v>
      </c>
      <c r="K80" s="22">
        <f>'input_EnBW Model 2026'!K5</f>
        <v>26.631624789517204</v>
      </c>
      <c r="L80" s="22">
        <f>'input_EnBW Model 2026'!L5</f>
        <v>27.447993528311308</v>
      </c>
      <c r="M80" s="22">
        <f>'input_EnBW Model 2026'!M5</f>
        <v>28.286072372701071</v>
      </c>
      <c r="N80" s="22">
        <f>'input_EnBW Model 2026'!N5</f>
        <v>29.146252389398306</v>
      </c>
      <c r="O80" s="19">
        <f>'input_EnBW Model 2026'!O5</f>
        <v>30.218675818292983</v>
      </c>
      <c r="P80" s="19">
        <f>'input_EnBW Model 2026'!P5</f>
        <v>31.329782435419368</v>
      </c>
      <c r="Q80" s="19">
        <f>'input_EnBW Model 2026'!Q5</f>
        <v>32.480931951059503</v>
      </c>
      <c r="R80" s="19">
        <f>'input_EnBW Model 2026'!R5</f>
        <v>33.673530196525213</v>
      </c>
      <c r="S80" s="19">
        <f>'input_EnBW Model 2026'!S5</f>
        <v>34.909030607796339</v>
      </c>
      <c r="T80" s="19">
        <f>'input_EnBW Model 2026'!T5</f>
        <v>36.014950484793687</v>
      </c>
      <c r="U80" s="19">
        <f>'input_EnBW Model 2026'!U5</f>
        <v>37.154946796938127</v>
      </c>
      <c r="V80" s="19">
        <f>'input_EnBW Model 2026'!V5</f>
        <v>38.330030039059466</v>
      </c>
      <c r="W80" s="19">
        <f>'input_EnBW Model 2026'!W5</f>
        <v>39.541238993360167</v>
      </c>
      <c r="X80" s="19">
        <f>'input_EnBW Model 2026'!X5</f>
        <v>40.789641447048233</v>
      </c>
      <c r="Y80" s="19">
        <f>'input_EnBW Model 2026'!Y5</f>
        <v>41.755726353943089</v>
      </c>
      <c r="Z80" s="19">
        <f>'input_EnBW Model 2026'!Z5</f>
        <v>42.536140379278436</v>
      </c>
      <c r="AA80" s="19">
        <f>'input_EnBW Model 2026'!AA5</f>
        <v>43.159469342785059</v>
      </c>
      <c r="AB80" s="19">
        <f>'input_EnBW Model 2026'!AB5</f>
        <v>43.649900913109583</v>
      </c>
      <c r="AC80" s="19">
        <f>'input_EnBW Model 2026'!AC5</f>
        <v>44.027900872195815</v>
      </c>
      <c r="AD80" s="19">
        <f>'input_EnBW Model 2026'!AD5</f>
        <v>44.310785458750999</v>
      </c>
      <c r="AE80" s="19">
        <f>'input_EnBW Model 2026'!AE5</f>
        <v>44.513205751123081</v>
      </c>
      <c r="AF80" s="19">
        <f>'input_EnBW Model 2026'!AF5</f>
        <v>44.647557600037572</v>
      </c>
      <c r="AG80" s="19">
        <f>'input_EnBW Model 2026'!AG5</f>
        <v>44.724328547621433</v>
      </c>
      <c r="AH80" s="19">
        <f>'input_EnBW Model 2026'!AH5</f>
        <v>44.752391413341336</v>
      </c>
      <c r="AI80" s="19">
        <f>'input_EnBW Model 2026'!AI5</f>
        <v>44.739252741103904</v>
      </c>
      <c r="AJ80" s="19">
        <f>'input_EnBW Model 2026'!AJ5</f>
        <v>44.691263043485719</v>
      </c>
      <c r="AK80" s="19">
        <f>'input_EnBW Model 2026'!AK5</f>
        <v>44.6137947138944</v>
      </c>
      <c r="AL80" s="19">
        <f>'input_EnBW Model 2026'!AL5</f>
        <v>44.51139257578636</v>
      </c>
      <c r="AM80" s="19">
        <f>'input_EnBW Model 2026'!AM5</f>
        <v>44.387901274800491</v>
      </c>
    </row>
    <row r="81" spans="1:39" x14ac:dyDescent="0.2">
      <c r="A81" s="5" t="s">
        <v>5</v>
      </c>
      <c r="B81" s="2" t="s">
        <v>37</v>
      </c>
      <c r="C81" s="21">
        <v>11</v>
      </c>
      <c r="D81" s="21">
        <v>12.2</v>
      </c>
      <c r="E81" s="21">
        <f>E3*E$80/E$2</f>
        <v>12.396141030191757</v>
      </c>
      <c r="F81" s="21">
        <f t="shared" ref="F81:N81" si="60">F3*F$80/F$2</f>
        <v>13.08847955570163</v>
      </c>
      <c r="G81" s="21">
        <f t="shared" si="60"/>
        <v>13.803963458856042</v>
      </c>
      <c r="H81" s="21">
        <f t="shared" si="60"/>
        <v>14.456113623093531</v>
      </c>
      <c r="I81" s="21">
        <f t="shared" si="60"/>
        <v>15.130282149024406</v>
      </c>
      <c r="J81" s="21">
        <f t="shared" si="60"/>
        <v>15.815213707275662</v>
      </c>
      <c r="K81" s="21">
        <f t="shared" si="60"/>
        <v>16.51595404218434</v>
      </c>
      <c r="L81" s="21">
        <f t="shared" si="60"/>
        <v>17.155817566606533</v>
      </c>
      <c r="M81" s="21">
        <f t="shared" si="60"/>
        <v>17.667530092544602</v>
      </c>
      <c r="N81" s="21">
        <f t="shared" si="60"/>
        <v>18.196249428813726</v>
      </c>
      <c r="O81">
        <f>$N81*O$80/$N$80</f>
        <v>18.865772355629844</v>
      </c>
      <c r="P81">
        <f t="shared" ref="P81:AM91" si="61">$N81*P$80/$N$80</f>
        <v>19.559445520780613</v>
      </c>
      <c r="Q81">
        <f t="shared" si="61"/>
        <v>20.278117802780926</v>
      </c>
      <c r="R81">
        <f t="shared" si="61"/>
        <v>21.022666873890778</v>
      </c>
      <c r="S81">
        <f t="shared" si="61"/>
        <v>21.794000126363017</v>
      </c>
      <c r="T81">
        <f t="shared" si="61"/>
        <v>22.484435166218997</v>
      </c>
      <c r="U81">
        <f t="shared" si="61"/>
        <v>23.196144409883317</v>
      </c>
      <c r="V81">
        <f t="shared" si="61"/>
        <v>23.929758717739805</v>
      </c>
      <c r="W81">
        <f t="shared" si="61"/>
        <v>24.685926610215919</v>
      </c>
      <c r="X81">
        <f t="shared" si="61"/>
        <v>25.465314715806947</v>
      </c>
      <c r="Y81">
        <f t="shared" si="61"/>
        <v>26.06844961289119</v>
      </c>
      <c r="Z81">
        <f t="shared" si="61"/>
        <v>26.555668623864687</v>
      </c>
      <c r="AA81">
        <f t="shared" si="61"/>
        <v>26.944818115354579</v>
      </c>
      <c r="AB81">
        <f t="shared" si="61"/>
        <v>27.250998651437353</v>
      </c>
      <c r="AC81">
        <f t="shared" si="61"/>
        <v>27.486987191154945</v>
      </c>
      <c r="AD81">
        <f t="shared" si="61"/>
        <v>27.663594407333353</v>
      </c>
      <c r="AE81">
        <f t="shared" si="61"/>
        <v>27.789967090869013</v>
      </c>
      <c r="AF81">
        <f t="shared" si="61"/>
        <v>27.873844075169046</v>
      </c>
      <c r="AG81">
        <f t="shared" si="61"/>
        <v>27.921772820602897</v>
      </c>
      <c r="AH81">
        <f t="shared" si="61"/>
        <v>27.939292702661987</v>
      </c>
      <c r="AI81">
        <f t="shared" si="61"/>
        <v>27.931090119564796</v>
      </c>
      <c r="AJ81">
        <f t="shared" si="61"/>
        <v>27.901129749490206</v>
      </c>
      <c r="AK81">
        <f t="shared" si="61"/>
        <v>27.852765622629423</v>
      </c>
      <c r="AL81">
        <f t="shared" si="61"/>
        <v>27.788835110323305</v>
      </c>
      <c r="AM81">
        <f t="shared" si="61"/>
        <v>27.71173845703813</v>
      </c>
    </row>
    <row r="82" spans="1:39" x14ac:dyDescent="0.2">
      <c r="A82" s="5" t="s">
        <v>7</v>
      </c>
      <c r="B82" s="2" t="s">
        <v>37</v>
      </c>
      <c r="C82" s="21">
        <v>3.9</v>
      </c>
      <c r="D82" s="21">
        <v>4.9000000000000004</v>
      </c>
      <c r="E82" s="21">
        <f t="shared" ref="E82:N82" si="62">E4*E$80/E$2</f>
        <v>5.550510909041086</v>
      </c>
      <c r="F82" s="21">
        <f t="shared" si="62"/>
        <v>6.3216465881279982</v>
      </c>
      <c r="G82" s="21">
        <f t="shared" si="62"/>
        <v>7.0305900846347527</v>
      </c>
      <c r="H82" s="21">
        <f t="shared" si="62"/>
        <v>7.7649981746902395</v>
      </c>
      <c r="I82" s="21">
        <f t="shared" si="62"/>
        <v>8.441104777876772</v>
      </c>
      <c r="J82" s="21">
        <f t="shared" si="62"/>
        <v>9.1805386886136784</v>
      </c>
      <c r="K82" s="21">
        <f t="shared" si="62"/>
        <v>9.789999907358137</v>
      </c>
      <c r="L82" s="21">
        <f t="shared" si="62"/>
        <v>10.351400472678204</v>
      </c>
      <c r="M82" s="21">
        <f t="shared" si="62"/>
        <v>10.866933191842911</v>
      </c>
      <c r="N82" s="21">
        <f t="shared" si="62"/>
        <v>11.338707666462282</v>
      </c>
      <c r="O82">
        <f t="shared" ref="O82:AD105" si="63">$N82*O$80/$N$80</f>
        <v>11.755910385784265</v>
      </c>
      <c r="P82">
        <f t="shared" si="61"/>
        <v>12.188161947650604</v>
      </c>
      <c r="Q82">
        <f t="shared" si="61"/>
        <v>12.635991317404532</v>
      </c>
      <c r="R82">
        <f t="shared" si="61"/>
        <v>13.099945402760294</v>
      </c>
      <c r="S82">
        <f t="shared" si="61"/>
        <v>13.580589630979937</v>
      </c>
      <c r="T82">
        <f t="shared" si="61"/>
        <v>14.010823405815566</v>
      </c>
      <c r="U82">
        <f t="shared" si="61"/>
        <v>14.45431386735266</v>
      </c>
      <c r="V82">
        <f t="shared" si="61"/>
        <v>14.911454126352787</v>
      </c>
      <c r="W82">
        <f t="shared" si="61"/>
        <v>15.382648298156933</v>
      </c>
      <c r="X82">
        <f t="shared" si="61"/>
        <v>15.868311781864772</v>
      </c>
      <c r="Y82">
        <f t="shared" si="61"/>
        <v>16.244145840868761</v>
      </c>
      <c r="Z82">
        <f t="shared" si="61"/>
        <v>16.547748732035082</v>
      </c>
      <c r="AA82">
        <f t="shared" si="61"/>
        <v>16.790241139045573</v>
      </c>
      <c r="AB82">
        <f t="shared" si="61"/>
        <v>16.981032741753868</v>
      </c>
      <c r="AC82">
        <f t="shared" si="61"/>
        <v>17.128085301951025</v>
      </c>
      <c r="AD82">
        <f t="shared" si="61"/>
        <v>17.238135320987574</v>
      </c>
      <c r="AE82">
        <f t="shared" si="61"/>
        <v>17.316882478265388</v>
      </c>
      <c r="AF82">
        <f t="shared" si="61"/>
        <v>17.369149106541901</v>
      </c>
      <c r="AG82">
        <f t="shared" si="61"/>
        <v>17.39901515313688</v>
      </c>
      <c r="AH82">
        <f t="shared" si="61"/>
        <v>17.40993239307668</v>
      </c>
      <c r="AI82">
        <f t="shared" si="61"/>
        <v>17.404821081967611</v>
      </c>
      <c r="AJ82">
        <f t="shared" si="61"/>
        <v>17.386151746883819</v>
      </c>
      <c r="AK82">
        <f t="shared" si="61"/>
        <v>17.356014399175791</v>
      </c>
      <c r="AL82">
        <f t="shared" si="61"/>
        <v>17.316177102328322</v>
      </c>
      <c r="AM82">
        <f t="shared" si="61"/>
        <v>17.2681355310648</v>
      </c>
    </row>
    <row r="83" spans="1:39" x14ac:dyDescent="0.2">
      <c r="A83" s="2" t="s">
        <v>8</v>
      </c>
      <c r="B83" s="2" t="s">
        <v>37</v>
      </c>
      <c r="C83" s="23">
        <v>2.9</v>
      </c>
      <c r="D83" s="23">
        <v>3.8</v>
      </c>
      <c r="E83" s="21">
        <f t="shared" ref="E83:N83" si="64">E5*E$80/E$2</f>
        <v>4.4404087272328683</v>
      </c>
      <c r="F83" s="21">
        <f t="shared" si="64"/>
        <v>5.164162001569351</v>
      </c>
      <c r="G83" s="21">
        <f t="shared" si="64"/>
        <v>5.8302454360385756</v>
      </c>
      <c r="H83" s="21">
        <f t="shared" si="64"/>
        <v>6.5259027212822227</v>
      </c>
      <c r="I83" s="21">
        <f t="shared" si="64"/>
        <v>7.246608818743268</v>
      </c>
      <c r="J83" s="21">
        <f t="shared" si="64"/>
        <v>7.8690331616688658</v>
      </c>
      <c r="K83" s="21">
        <f t="shared" si="64"/>
        <v>8.5195419041131899</v>
      </c>
      <c r="L83" s="21">
        <f t="shared" si="64"/>
        <v>9.1208144024996756</v>
      </c>
      <c r="M83" s="21">
        <f t="shared" si="64"/>
        <v>9.6049667566611525</v>
      </c>
      <c r="N83" s="21">
        <f t="shared" si="64"/>
        <v>10.116571510795691</v>
      </c>
      <c r="O83">
        <f t="shared" si="63"/>
        <v>10.488806272346443</v>
      </c>
      <c r="P83">
        <f t="shared" si="61"/>
        <v>10.874467845508624</v>
      </c>
      <c r="Q83">
        <f t="shared" si="61"/>
        <v>11.27402818139686</v>
      </c>
      <c r="R83">
        <f t="shared" si="61"/>
        <v>11.687975239588528</v>
      </c>
      <c r="S83">
        <f t="shared" si="61"/>
        <v>12.116813503089885</v>
      </c>
      <c r="T83">
        <f t="shared" si="61"/>
        <v>12.500674775248621</v>
      </c>
      <c r="U83">
        <f t="shared" si="61"/>
        <v>12.896363869673932</v>
      </c>
      <c r="V83">
        <f t="shared" si="61"/>
        <v>13.304231525907579</v>
      </c>
      <c r="W83">
        <f t="shared" si="61"/>
        <v>13.724638301948403</v>
      </c>
      <c r="X83">
        <f t="shared" si="61"/>
        <v>14.157954823340429</v>
      </c>
      <c r="Y83">
        <f t="shared" si="61"/>
        <v>14.493279822092489</v>
      </c>
      <c r="Z83">
        <f t="shared" si="61"/>
        <v>14.764159048342679</v>
      </c>
      <c r="AA83">
        <f t="shared" si="61"/>
        <v>14.980514549208328</v>
      </c>
      <c r="AB83">
        <f t="shared" si="61"/>
        <v>15.150741787552857</v>
      </c>
      <c r="AC83">
        <f t="shared" si="61"/>
        <v>15.281944371201815</v>
      </c>
      <c r="AD83">
        <f t="shared" si="61"/>
        <v>15.380132711539813</v>
      </c>
      <c r="AE83">
        <f t="shared" si="61"/>
        <v>15.450392151266726</v>
      </c>
      <c r="AF83">
        <f t="shared" si="61"/>
        <v>15.497025250746969</v>
      </c>
      <c r="AG83">
        <f t="shared" si="61"/>
        <v>15.523672202499373</v>
      </c>
      <c r="AH83">
        <f t="shared" si="61"/>
        <v>15.533412733942672</v>
      </c>
      <c r="AI83">
        <f t="shared" si="61"/>
        <v>15.52885234259386</v>
      </c>
      <c r="AJ83">
        <f t="shared" si="61"/>
        <v>15.512195271171791</v>
      </c>
      <c r="AK83">
        <f t="shared" si="61"/>
        <v>15.485306260342476</v>
      </c>
      <c r="AL83">
        <f t="shared" si="61"/>
        <v>15.449762803873774</v>
      </c>
      <c r="AM83">
        <f t="shared" si="61"/>
        <v>15.406899366039854</v>
      </c>
    </row>
    <row r="84" spans="1:39" x14ac:dyDescent="0.2">
      <c r="A84" s="5" t="s">
        <v>9</v>
      </c>
      <c r="B84" s="2" t="s">
        <v>37</v>
      </c>
      <c r="C84" s="21">
        <v>6.8</v>
      </c>
      <c r="D84" s="21">
        <v>7.5</v>
      </c>
      <c r="E84" s="21">
        <f t="shared" ref="E84:N84" si="65">E6*E$80/E$2</f>
        <v>7.4931897272054648</v>
      </c>
      <c r="F84" s="21">
        <f t="shared" si="65"/>
        <v>7.8352802782431539</v>
      </c>
      <c r="G84" s="21">
        <f t="shared" si="65"/>
        <v>8.0594569262886218</v>
      </c>
      <c r="H84" s="21">
        <f t="shared" si="65"/>
        <v>8.3432427196139791</v>
      </c>
      <c r="I84" s="21">
        <f t="shared" si="65"/>
        <v>8.5207378418190061</v>
      </c>
      <c r="J84" s="21">
        <f t="shared" si="65"/>
        <v>8.7948017689240263</v>
      </c>
      <c r="K84" s="21">
        <f t="shared" si="65"/>
        <v>8.9679388464349366</v>
      </c>
      <c r="L84" s="21">
        <f t="shared" si="65"/>
        <v>9.1208144024996756</v>
      </c>
      <c r="M84" s="21">
        <f t="shared" si="65"/>
        <v>9.1843112782672343</v>
      </c>
      <c r="N84" s="21">
        <f t="shared" si="65"/>
        <v>9.2339176205920381</v>
      </c>
      <c r="O84">
        <f t="shared" si="63"/>
        <v>9.5736755237524545</v>
      </c>
      <c r="P84">
        <f t="shared" si="61"/>
        <v>9.9256887717394147</v>
      </c>
      <c r="Q84">
        <f t="shared" si="61"/>
        <v>10.290388138724648</v>
      </c>
      <c r="R84">
        <f t="shared" si="61"/>
        <v>10.668219010631139</v>
      </c>
      <c r="S84">
        <f t="shared" si="61"/>
        <v>11.059641855169289</v>
      </c>
      <c r="T84">
        <f t="shared" si="61"/>
        <v>11.410011875394712</v>
      </c>
      <c r="U84">
        <f t="shared" si="61"/>
        <v>11.771177760239294</v>
      </c>
      <c r="V84">
        <f t="shared" si="61"/>
        <v>12.143459647808257</v>
      </c>
      <c r="W84">
        <f t="shared" si="61"/>
        <v>12.527186638020016</v>
      </c>
      <c r="X84">
        <f t="shared" si="61"/>
        <v>12.922697019961731</v>
      </c>
      <c r="Y84">
        <f t="shared" si="61"/>
        <v>13.228765475198511</v>
      </c>
      <c r="Z84">
        <f t="shared" si="61"/>
        <v>13.476010943453719</v>
      </c>
      <c r="AA84">
        <f t="shared" si="61"/>
        <v>13.673489789881426</v>
      </c>
      <c r="AB84">
        <f t="shared" si="61"/>
        <v>13.828864987296564</v>
      </c>
      <c r="AC84">
        <f t="shared" si="61"/>
        <v>13.948620365660714</v>
      </c>
      <c r="AD84">
        <f t="shared" si="61"/>
        <v>14.03824193804976</v>
      </c>
      <c r="AE84">
        <f t="shared" si="61"/>
        <v>14.102371359545465</v>
      </c>
      <c r="AF84">
        <f t="shared" si="61"/>
        <v>14.144935799339514</v>
      </c>
      <c r="AG84">
        <f t="shared" si="61"/>
        <v>14.16925784926117</v>
      </c>
      <c r="AH84">
        <f t="shared" si="61"/>
        <v>14.178148535679213</v>
      </c>
      <c r="AI84">
        <f t="shared" si="61"/>
        <v>14.173986030823922</v>
      </c>
      <c r="AJ84">
        <f t="shared" si="61"/>
        <v>14.158782260935324</v>
      </c>
      <c r="AK84">
        <f t="shared" si="61"/>
        <v>14.134239271185077</v>
      </c>
      <c r="AL84">
        <f t="shared" si="61"/>
        <v>14.101796921656598</v>
      </c>
      <c r="AM84">
        <f t="shared" si="61"/>
        <v>14.062673246855168</v>
      </c>
    </row>
    <row r="85" spans="1:39" x14ac:dyDescent="0.2">
      <c r="A85" s="2" t="s">
        <v>10</v>
      </c>
      <c r="B85" s="2" t="s">
        <v>37</v>
      </c>
      <c r="C85" s="23">
        <v>8.4</v>
      </c>
      <c r="D85" s="23">
        <v>8.8000000000000007</v>
      </c>
      <c r="E85" s="21">
        <f t="shared" ref="E85:N85" si="66">E7*E$80/E$2</f>
        <v>8.6032919090136826</v>
      </c>
      <c r="F85" s="21">
        <f t="shared" si="66"/>
        <v>8.6366157612452934</v>
      </c>
      <c r="G85" s="21">
        <f t="shared" si="66"/>
        <v>8.7453681540578643</v>
      </c>
      <c r="H85" s="21">
        <f t="shared" si="66"/>
        <v>8.8388809009771858</v>
      </c>
      <c r="I85" s="21">
        <f t="shared" si="66"/>
        <v>8.9189031615301744</v>
      </c>
      <c r="J85" s="21">
        <f t="shared" si="66"/>
        <v>9.0262439207378158</v>
      </c>
      <c r="K85" s="21">
        <f t="shared" si="66"/>
        <v>9.117404493875517</v>
      </c>
      <c r="L85" s="21">
        <f t="shared" si="66"/>
        <v>9.193201818392529</v>
      </c>
      <c r="M85" s="21">
        <f t="shared" si="66"/>
        <v>9.1843112782672343</v>
      </c>
      <c r="N85" s="21">
        <f t="shared" si="66"/>
        <v>9.2339176205920381</v>
      </c>
      <c r="O85">
        <f t="shared" si="63"/>
        <v>9.5736755237524545</v>
      </c>
      <c r="P85">
        <f t="shared" si="61"/>
        <v>9.9256887717394147</v>
      </c>
      <c r="Q85">
        <f t="shared" si="61"/>
        <v>10.290388138724648</v>
      </c>
      <c r="R85">
        <f t="shared" si="61"/>
        <v>10.668219010631139</v>
      </c>
      <c r="S85">
        <f t="shared" si="61"/>
        <v>11.059641855169289</v>
      </c>
      <c r="T85">
        <f t="shared" si="61"/>
        <v>11.410011875394712</v>
      </c>
      <c r="U85">
        <f t="shared" si="61"/>
        <v>11.771177760239294</v>
      </c>
      <c r="V85">
        <f t="shared" si="61"/>
        <v>12.143459647808257</v>
      </c>
      <c r="W85">
        <f t="shared" si="61"/>
        <v>12.527186638020016</v>
      </c>
      <c r="X85">
        <f t="shared" si="61"/>
        <v>12.922697019961731</v>
      </c>
      <c r="Y85">
        <f t="shared" si="61"/>
        <v>13.228765475198511</v>
      </c>
      <c r="Z85">
        <f t="shared" si="61"/>
        <v>13.476010943453719</v>
      </c>
      <c r="AA85">
        <f t="shared" si="61"/>
        <v>13.673489789881426</v>
      </c>
      <c r="AB85">
        <f t="shared" si="61"/>
        <v>13.828864987296564</v>
      </c>
      <c r="AC85">
        <f t="shared" si="61"/>
        <v>13.948620365660714</v>
      </c>
      <c r="AD85">
        <f t="shared" si="61"/>
        <v>14.03824193804976</v>
      </c>
      <c r="AE85">
        <f t="shared" si="61"/>
        <v>14.102371359545465</v>
      </c>
      <c r="AF85">
        <f t="shared" si="61"/>
        <v>14.144935799339514</v>
      </c>
      <c r="AG85">
        <f t="shared" si="61"/>
        <v>14.16925784926117</v>
      </c>
      <c r="AH85">
        <f t="shared" si="61"/>
        <v>14.178148535679213</v>
      </c>
      <c r="AI85">
        <f t="shared" si="61"/>
        <v>14.173986030823922</v>
      </c>
      <c r="AJ85">
        <f t="shared" si="61"/>
        <v>14.158782260935324</v>
      </c>
      <c r="AK85">
        <f t="shared" si="61"/>
        <v>14.134239271185077</v>
      </c>
      <c r="AL85">
        <f t="shared" si="61"/>
        <v>14.101796921656598</v>
      </c>
      <c r="AM85">
        <f t="shared" si="61"/>
        <v>14.062673246855168</v>
      </c>
    </row>
    <row r="86" spans="1:39" x14ac:dyDescent="0.2">
      <c r="A86" s="5" t="s">
        <v>11</v>
      </c>
      <c r="B86" s="2" t="s">
        <v>37</v>
      </c>
      <c r="C86" s="21">
        <v>5.3</v>
      </c>
      <c r="D86" s="21">
        <v>5.8</v>
      </c>
      <c r="E86" s="21">
        <f t="shared" ref="E86:N86" si="67">E8*E$80/E$2</f>
        <v>5.9205449696438244</v>
      </c>
      <c r="F86" s="21">
        <f t="shared" si="67"/>
        <v>6.2326093122388713</v>
      </c>
      <c r="G86" s="21">
        <f t="shared" si="67"/>
        <v>6.5161566638078208</v>
      </c>
      <c r="H86" s="21">
        <f t="shared" si="67"/>
        <v>6.8563281755243608</v>
      </c>
      <c r="I86" s="21">
        <f t="shared" si="67"/>
        <v>7.246608818743268</v>
      </c>
      <c r="J86" s="21">
        <f t="shared" si="67"/>
        <v>7.5604436259171468</v>
      </c>
      <c r="K86" s="21">
        <f t="shared" si="67"/>
        <v>7.9216793143508601</v>
      </c>
      <c r="L86" s="21">
        <f t="shared" si="67"/>
        <v>8.179777995892568</v>
      </c>
      <c r="M86" s="21">
        <f t="shared" si="67"/>
        <v>8.4832188142773681</v>
      </c>
      <c r="N86" s="21">
        <f t="shared" si="67"/>
        <v>8.7586424489439203</v>
      </c>
      <c r="O86">
        <f t="shared" si="63"/>
        <v>9.0809128129710821</v>
      </c>
      <c r="P86">
        <f t="shared" si="61"/>
        <v>9.4148077320175343</v>
      </c>
      <c r="Q86">
        <f t="shared" si="61"/>
        <v>9.7607358080550011</v>
      </c>
      <c r="R86">
        <f t="shared" si="61"/>
        <v>10.119119502731008</v>
      </c>
      <c r="S86">
        <f t="shared" si="61"/>
        <v>10.490395583212049</v>
      </c>
      <c r="T86">
        <f t="shared" si="61"/>
        <v>10.822731852396458</v>
      </c>
      <c r="U86">
        <f t="shared" si="61"/>
        <v>11.165308316697566</v>
      </c>
      <c r="V86">
        <f t="shared" si="61"/>
        <v>11.51842863652401</v>
      </c>
      <c r="W86">
        <f t="shared" si="61"/>
        <v>11.882404972827812</v>
      </c>
      <c r="X86">
        <f t="shared" si="61"/>
        <v>12.257558202757821</v>
      </c>
      <c r="Y86">
        <f t="shared" si="61"/>
        <v>12.547873134563297</v>
      </c>
      <c r="Z86">
        <f t="shared" si="61"/>
        <v>12.782392733128896</v>
      </c>
      <c r="AA86">
        <f t="shared" si="61"/>
        <v>12.969707227166943</v>
      </c>
      <c r="AB86">
        <f t="shared" si="61"/>
        <v>13.117085171773951</v>
      </c>
      <c r="AC86">
        <f t="shared" si="61"/>
        <v>13.230676670369357</v>
      </c>
      <c r="AD86">
        <f t="shared" si="61"/>
        <v>13.315685367708966</v>
      </c>
      <c r="AE86">
        <f t="shared" si="61"/>
        <v>13.3765140101571</v>
      </c>
      <c r="AF86">
        <f t="shared" si="61"/>
        <v>13.416887633197041</v>
      </c>
      <c r="AG86">
        <f t="shared" si="61"/>
        <v>13.439957812902142</v>
      </c>
      <c r="AH86">
        <f t="shared" si="61"/>
        <v>13.448390890460434</v>
      </c>
      <c r="AI86">
        <f t="shared" si="61"/>
        <v>13.444442632178578</v>
      </c>
      <c r="AJ86">
        <f t="shared" si="61"/>
        <v>13.430021409269539</v>
      </c>
      <c r="AK86">
        <f t="shared" si="61"/>
        <v>13.406741661638788</v>
      </c>
      <c r="AL86">
        <f t="shared" si="61"/>
        <v>13.375969138924276</v>
      </c>
      <c r="AM86">
        <f t="shared" si="61"/>
        <v>13.338859182678801</v>
      </c>
    </row>
    <row r="87" spans="1:39" x14ac:dyDescent="0.2">
      <c r="A87" s="2" t="s">
        <v>12</v>
      </c>
      <c r="B87" s="2" t="s">
        <v>37</v>
      </c>
      <c r="C87" s="23">
        <v>3.6</v>
      </c>
      <c r="D87" s="23">
        <v>4.0999999999999996</v>
      </c>
      <c r="E87" s="21">
        <f t="shared" ref="E87:N87" si="68">E9*E$80/E$2</f>
        <v>4.2553916969314987</v>
      </c>
      <c r="F87" s="21">
        <f t="shared" si="68"/>
        <v>4.5409010703454635</v>
      </c>
      <c r="G87" s="21">
        <f t="shared" si="68"/>
        <v>4.8871174978558649</v>
      </c>
      <c r="H87" s="21">
        <f t="shared" si="68"/>
        <v>5.2042009043136703</v>
      </c>
      <c r="I87" s="21">
        <f t="shared" si="68"/>
        <v>5.5743144759563599</v>
      </c>
      <c r="J87" s="21">
        <f t="shared" si="68"/>
        <v>5.9403485632206152</v>
      </c>
      <c r="K87" s="21">
        <f t="shared" si="68"/>
        <v>6.2775571925044558</v>
      </c>
      <c r="L87" s="21">
        <f t="shared" si="68"/>
        <v>6.6596422621426203</v>
      </c>
      <c r="M87" s="21">
        <f t="shared" si="68"/>
        <v>6.9408153934996655</v>
      </c>
      <c r="N87" s="21">
        <f t="shared" si="68"/>
        <v>7.2649204809069712</v>
      </c>
      <c r="O87">
        <f t="shared" si="63"/>
        <v>7.5322300076581827</v>
      </c>
      <c r="P87">
        <f t="shared" si="61"/>
        <v>7.8091816071773339</v>
      </c>
      <c r="Q87">
        <f t="shared" si="61"/>
        <v>8.0961141973789523</v>
      </c>
      <c r="R87">
        <f t="shared" si="61"/>
        <v>8.3933781921877344</v>
      </c>
      <c r="S87">
        <f t="shared" si="61"/>
        <v>8.7013358713464264</v>
      </c>
      <c r="T87">
        <f t="shared" si="61"/>
        <v>8.9769946372590752</v>
      </c>
      <c r="U87">
        <f t="shared" si="61"/>
        <v>9.2611472084235622</v>
      </c>
      <c r="V87">
        <f t="shared" si="61"/>
        <v>9.5540454582020846</v>
      </c>
      <c r="W87">
        <f t="shared" si="61"/>
        <v>9.85594831079516</v>
      </c>
      <c r="X87">
        <f t="shared" si="61"/>
        <v>10.167121920116951</v>
      </c>
      <c r="Y87">
        <f t="shared" si="61"/>
        <v>10.407925778281182</v>
      </c>
      <c r="Z87">
        <f t="shared" si="61"/>
        <v>10.602449786393734</v>
      </c>
      <c r="AA87">
        <f t="shared" si="61"/>
        <v>10.757819172921415</v>
      </c>
      <c r="AB87">
        <f t="shared" si="61"/>
        <v>10.880062894417151</v>
      </c>
      <c r="AC87">
        <f t="shared" si="61"/>
        <v>10.974282199453651</v>
      </c>
      <c r="AD87">
        <f t="shared" si="61"/>
        <v>11.044793289495033</v>
      </c>
      <c r="AE87">
        <f t="shared" si="61"/>
        <v>11.095248054936507</v>
      </c>
      <c r="AF87">
        <f t="shared" si="61"/>
        <v>11.128736253892116</v>
      </c>
      <c r="AG87">
        <f t="shared" si="61"/>
        <v>11.147871984345185</v>
      </c>
      <c r="AH87">
        <f t="shared" si="61"/>
        <v>11.154866862629969</v>
      </c>
      <c r="AI87">
        <f t="shared" si="61"/>
        <v>11.151591950721762</v>
      </c>
      <c r="AJ87">
        <f t="shared" si="61"/>
        <v>11.139630161177058</v>
      </c>
      <c r="AK87">
        <f t="shared" si="61"/>
        <v>11.12032060306473</v>
      </c>
      <c r="AL87">
        <f t="shared" si="61"/>
        <v>11.094796107479825</v>
      </c>
      <c r="AM87">
        <f t="shared" si="61"/>
        <v>11.064014980981639</v>
      </c>
    </row>
    <row r="88" spans="1:39" x14ac:dyDescent="0.2">
      <c r="A88" s="5" t="s">
        <v>13</v>
      </c>
      <c r="B88" s="2" t="s">
        <v>37</v>
      </c>
      <c r="C88" s="21">
        <v>2</v>
      </c>
      <c r="D88" s="21">
        <v>2.6</v>
      </c>
      <c r="E88" s="21">
        <f t="shared" ref="E88:N88" si="69">E10*E$80/E$2</f>
        <v>3.052780999972597</v>
      </c>
      <c r="F88" s="21">
        <f t="shared" si="69"/>
        <v>3.5614910355650693</v>
      </c>
      <c r="G88" s="21">
        <f t="shared" si="69"/>
        <v>4.0297284631443109</v>
      </c>
      <c r="H88" s="21">
        <f t="shared" si="69"/>
        <v>4.4607436322688612</v>
      </c>
      <c r="I88" s="21">
        <f t="shared" si="69"/>
        <v>4.8576169004762555</v>
      </c>
      <c r="J88" s="21">
        <f t="shared" si="69"/>
        <v>5.2460221077792442</v>
      </c>
      <c r="K88" s="21">
        <f t="shared" si="69"/>
        <v>5.6049617790218349</v>
      </c>
      <c r="L88" s="21">
        <f t="shared" si="69"/>
        <v>5.9357681032140741</v>
      </c>
      <c r="M88" s="21">
        <f t="shared" si="69"/>
        <v>6.2397229295098002</v>
      </c>
      <c r="N88" s="21">
        <f t="shared" si="69"/>
        <v>6.4501630437959099</v>
      </c>
      <c r="O88">
        <f t="shared" si="63"/>
        <v>6.6874939320329663</v>
      </c>
      <c r="P88">
        <f t="shared" si="61"/>
        <v>6.9333855390826802</v>
      </c>
      <c r="Q88">
        <f t="shared" si="61"/>
        <v>7.1881387733738364</v>
      </c>
      <c r="R88">
        <f t="shared" si="61"/>
        <v>7.4520647500732222</v>
      </c>
      <c r="S88">
        <f t="shared" si="61"/>
        <v>7.7254851194197247</v>
      </c>
      <c r="T88">
        <f t="shared" si="61"/>
        <v>7.9702288835477777</v>
      </c>
      <c r="U88">
        <f t="shared" si="61"/>
        <v>8.2225138766377412</v>
      </c>
      <c r="V88">
        <f t="shared" si="61"/>
        <v>8.4825637245719463</v>
      </c>
      <c r="W88">
        <f t="shared" si="61"/>
        <v>8.7506083133228074</v>
      </c>
      <c r="X88">
        <f t="shared" si="61"/>
        <v>9.0268839477673879</v>
      </c>
      <c r="Y88">
        <f t="shared" si="61"/>
        <v>9.2406817657636662</v>
      </c>
      <c r="Z88">
        <f t="shared" si="61"/>
        <v>9.4133899972654671</v>
      </c>
      <c r="AA88">
        <f t="shared" si="61"/>
        <v>9.5513347796965853</v>
      </c>
      <c r="AB88">
        <f t="shared" si="61"/>
        <v>9.6598689249498069</v>
      </c>
      <c r="AC88">
        <f t="shared" si="61"/>
        <v>9.7435215789541783</v>
      </c>
      <c r="AD88">
        <f t="shared" si="61"/>
        <v>9.8061248831965244</v>
      </c>
      <c r="AE88">
        <f t="shared" si="61"/>
        <v>9.8509211702707304</v>
      </c>
      <c r="AF88">
        <f t="shared" si="61"/>
        <v>9.8806536833621603</v>
      </c>
      <c r="AG88">
        <f t="shared" si="61"/>
        <v>9.8976433505868471</v>
      </c>
      <c r="AH88">
        <f t="shared" si="61"/>
        <v>9.903853756540629</v>
      </c>
      <c r="AI88">
        <f t="shared" si="61"/>
        <v>9.9009461244725951</v>
      </c>
      <c r="AJ88">
        <f t="shared" si="61"/>
        <v>9.890325844035706</v>
      </c>
      <c r="AK88">
        <f t="shared" si="61"/>
        <v>9.8731818438425183</v>
      </c>
      <c r="AL88">
        <f t="shared" si="61"/>
        <v>9.8505199085101243</v>
      </c>
      <c r="AM88">
        <f t="shared" si="61"/>
        <v>9.8231908709650089</v>
      </c>
    </row>
    <row r="89" spans="1:39" x14ac:dyDescent="0.2">
      <c r="A89" s="2" t="s">
        <v>14</v>
      </c>
      <c r="B89" s="2" t="s">
        <v>37</v>
      </c>
      <c r="C89" s="23">
        <v>1.5</v>
      </c>
      <c r="D89" s="23">
        <v>1.8</v>
      </c>
      <c r="E89" s="21">
        <f t="shared" ref="E89:N89" si="70">E11*E$80/E$2</f>
        <v>2.035187333315065</v>
      </c>
      <c r="F89" s="21">
        <f t="shared" si="70"/>
        <v>2.3149691731172952</v>
      </c>
      <c r="G89" s="21">
        <f t="shared" si="70"/>
        <v>2.5721671041346661</v>
      </c>
      <c r="H89" s="21">
        <f t="shared" si="70"/>
        <v>2.8912227246187059</v>
      </c>
      <c r="I89" s="21">
        <f t="shared" si="70"/>
        <v>3.1056894937471147</v>
      </c>
      <c r="J89" s="21">
        <f t="shared" si="70"/>
        <v>3.3944848932689227</v>
      </c>
      <c r="K89" s="21">
        <f t="shared" si="70"/>
        <v>3.6619083622942656</v>
      </c>
      <c r="L89" s="21">
        <f t="shared" si="70"/>
        <v>3.8365330423212924</v>
      </c>
      <c r="M89" s="21">
        <f t="shared" si="70"/>
        <v>4.0663362911412184</v>
      </c>
      <c r="N89" s="21">
        <f t="shared" si="70"/>
        <v>4.2774765448330765</v>
      </c>
      <c r="O89">
        <f t="shared" si="63"/>
        <v>4.4348643970323876</v>
      </c>
      <c r="P89">
        <f t="shared" si="61"/>
        <v>4.5979293574969349</v>
      </c>
      <c r="Q89">
        <f t="shared" si="61"/>
        <v>4.7668709760268593</v>
      </c>
      <c r="R89">
        <f t="shared" si="61"/>
        <v>4.9418955711011892</v>
      </c>
      <c r="S89">
        <f t="shared" si="61"/>
        <v>5.1232164476151851</v>
      </c>
      <c r="T89">
        <f t="shared" si="61"/>
        <v>5.285520206984315</v>
      </c>
      <c r="U89">
        <f t="shared" si="61"/>
        <v>5.4528249918755547</v>
      </c>
      <c r="V89">
        <f t="shared" si="61"/>
        <v>5.6252791015582373</v>
      </c>
      <c r="W89">
        <f t="shared" si="61"/>
        <v>5.8030349867298607</v>
      </c>
      <c r="X89">
        <f t="shared" si="61"/>
        <v>5.9862493548352136</v>
      </c>
      <c r="Y89">
        <f t="shared" si="61"/>
        <v>6.1280310657169572</v>
      </c>
      <c r="Z89">
        <f t="shared" si="61"/>
        <v>6.2425638929234131</v>
      </c>
      <c r="AA89">
        <f t="shared" si="61"/>
        <v>6.3340430644303662</v>
      </c>
      <c r="AB89">
        <f t="shared" si="61"/>
        <v>6.4060183397035564</v>
      </c>
      <c r="AC89">
        <f t="shared" si="61"/>
        <v>6.4614932576222435</v>
      </c>
      <c r="AD89">
        <f t="shared" si="61"/>
        <v>6.5030091330671684</v>
      </c>
      <c r="AE89">
        <f t="shared" si="61"/>
        <v>6.5327161444953266</v>
      </c>
      <c r="AF89">
        <f t="shared" si="61"/>
        <v>6.5524334952822736</v>
      </c>
      <c r="AG89">
        <f t="shared" si="61"/>
        <v>6.5637003272312775</v>
      </c>
      <c r="AH89">
        <f t="shared" si="61"/>
        <v>6.567818806969048</v>
      </c>
      <c r="AI89">
        <f t="shared" si="61"/>
        <v>6.5658905878081413</v>
      </c>
      <c r="AJ89">
        <f t="shared" si="61"/>
        <v>6.5588476649920979</v>
      </c>
      <c r="AK89">
        <f t="shared" si="61"/>
        <v>6.5474784859166171</v>
      </c>
      <c r="AL89">
        <f t="shared" si="61"/>
        <v>6.5324500445909246</v>
      </c>
      <c r="AM89">
        <f t="shared" si="61"/>
        <v>6.5143265775873198</v>
      </c>
    </row>
    <row r="90" spans="1:39" x14ac:dyDescent="0.2">
      <c r="A90" s="2" t="s">
        <v>16</v>
      </c>
      <c r="B90" s="2" t="s">
        <v>37</v>
      </c>
      <c r="C90" s="23">
        <v>2.2000000000000002</v>
      </c>
      <c r="D90" s="23">
        <v>2.5</v>
      </c>
      <c r="E90" s="21">
        <f t="shared" ref="E90:N90" si="71">E12*E$80/E$2</f>
        <v>2.4977299090684886</v>
      </c>
      <c r="F90" s="21">
        <f t="shared" si="71"/>
        <v>2.671118276673802</v>
      </c>
      <c r="G90" s="21">
        <f t="shared" si="71"/>
        <v>2.7436449110769772</v>
      </c>
      <c r="H90" s="21">
        <f t="shared" si="71"/>
        <v>2.8912227246187059</v>
      </c>
      <c r="I90" s="21">
        <f t="shared" si="71"/>
        <v>3.0260564298048811</v>
      </c>
      <c r="J90" s="21">
        <f t="shared" si="71"/>
        <v>3.1630427414551323</v>
      </c>
      <c r="K90" s="21">
        <f t="shared" si="71"/>
        <v>3.2882442436928101</v>
      </c>
      <c r="L90" s="21">
        <f t="shared" si="71"/>
        <v>3.4022085469641654</v>
      </c>
      <c r="M90" s="21">
        <f t="shared" si="71"/>
        <v>3.5054623199493262</v>
      </c>
      <c r="N90" s="21">
        <f t="shared" si="71"/>
        <v>3.6664084669997807</v>
      </c>
      <c r="O90">
        <f t="shared" si="63"/>
        <v>3.8013123403134763</v>
      </c>
      <c r="P90">
        <f t="shared" si="61"/>
        <v>3.9410823064259448</v>
      </c>
      <c r="Q90">
        <f t="shared" si="61"/>
        <v>4.0858894080230233</v>
      </c>
      <c r="R90">
        <f t="shared" si="61"/>
        <v>4.2359104895153061</v>
      </c>
      <c r="S90">
        <f t="shared" si="61"/>
        <v>4.3913283836701602</v>
      </c>
      <c r="T90">
        <f t="shared" si="61"/>
        <v>4.5304458917008432</v>
      </c>
      <c r="U90">
        <f t="shared" si="61"/>
        <v>4.6738499930361908</v>
      </c>
      <c r="V90">
        <f t="shared" si="61"/>
        <v>4.8216678013356331</v>
      </c>
      <c r="W90">
        <f t="shared" si="61"/>
        <v>4.9740299886255963</v>
      </c>
      <c r="X90">
        <f t="shared" si="61"/>
        <v>5.1310708755730419</v>
      </c>
      <c r="Y90">
        <f t="shared" si="61"/>
        <v>5.2525980563288215</v>
      </c>
      <c r="Z90">
        <f t="shared" si="61"/>
        <v>5.3507690510772123</v>
      </c>
      <c r="AA90">
        <f t="shared" si="61"/>
        <v>5.4291797695117436</v>
      </c>
      <c r="AB90">
        <f t="shared" si="61"/>
        <v>5.490872862603049</v>
      </c>
      <c r="AC90">
        <f t="shared" si="61"/>
        <v>5.5384227922476388</v>
      </c>
      <c r="AD90">
        <f t="shared" si="61"/>
        <v>5.5740078283432881</v>
      </c>
      <c r="AE90">
        <f t="shared" si="61"/>
        <v>5.5994709809959948</v>
      </c>
      <c r="AF90">
        <f t="shared" si="61"/>
        <v>5.6163715673848085</v>
      </c>
      <c r="AG90">
        <f t="shared" si="61"/>
        <v>5.6260288519125243</v>
      </c>
      <c r="AH90">
        <f t="shared" si="61"/>
        <v>5.6295589774020423</v>
      </c>
      <c r="AI90">
        <f t="shared" si="61"/>
        <v>5.6279062181212653</v>
      </c>
      <c r="AJ90">
        <f t="shared" si="61"/>
        <v>5.6218694271360858</v>
      </c>
      <c r="AK90">
        <f t="shared" si="61"/>
        <v>5.6121244164999586</v>
      </c>
      <c r="AL90">
        <f t="shared" si="61"/>
        <v>5.5992428953636502</v>
      </c>
      <c r="AM90">
        <f t="shared" si="61"/>
        <v>5.5837084950748475</v>
      </c>
    </row>
    <row r="91" spans="1:39" x14ac:dyDescent="0.2">
      <c r="A91" s="5" t="s">
        <v>17</v>
      </c>
      <c r="B91" s="2" t="s">
        <v>37</v>
      </c>
      <c r="C91" s="21">
        <v>2.7</v>
      </c>
      <c r="D91" s="21">
        <v>2.9</v>
      </c>
      <c r="E91" s="21">
        <f t="shared" ref="E91:N91" si="72">E13*E$80/E$2</f>
        <v>2.775255454520543</v>
      </c>
      <c r="F91" s="21">
        <f t="shared" si="72"/>
        <v>2.8491928284520558</v>
      </c>
      <c r="G91" s="21">
        <f t="shared" si="72"/>
        <v>2.9151227180192878</v>
      </c>
      <c r="H91" s="21">
        <f t="shared" si="72"/>
        <v>2.8912227246187059</v>
      </c>
      <c r="I91" s="21">
        <f t="shared" si="72"/>
        <v>2.9464233658626475</v>
      </c>
      <c r="J91" s="21">
        <f t="shared" si="72"/>
        <v>3.0087479735792724</v>
      </c>
      <c r="K91" s="21">
        <f t="shared" si="72"/>
        <v>3.1387785962522279</v>
      </c>
      <c r="L91" s="21">
        <f t="shared" si="72"/>
        <v>3.1850462992856015</v>
      </c>
      <c r="M91" s="21">
        <f t="shared" si="72"/>
        <v>3.2250253343533797</v>
      </c>
      <c r="N91" s="21">
        <f t="shared" si="72"/>
        <v>3.2590297484442492</v>
      </c>
      <c r="O91">
        <f t="shared" si="63"/>
        <v>3.3789443025008672</v>
      </c>
      <c r="P91">
        <f t="shared" si="61"/>
        <v>3.5031842723786171</v>
      </c>
      <c r="Q91">
        <f t="shared" si="61"/>
        <v>3.6319016960204644</v>
      </c>
      <c r="R91">
        <f t="shared" si="61"/>
        <v>3.7652537684580492</v>
      </c>
      <c r="S91">
        <f t="shared" si="61"/>
        <v>3.9034030077068085</v>
      </c>
      <c r="T91">
        <f t="shared" si="61"/>
        <v>4.0270630148451936</v>
      </c>
      <c r="U91">
        <f t="shared" si="61"/>
        <v>4.1545333271432803</v>
      </c>
      <c r="V91">
        <f t="shared" si="61"/>
        <v>4.2859269345205622</v>
      </c>
      <c r="W91">
        <f t="shared" si="61"/>
        <v>4.4213599898894183</v>
      </c>
      <c r="X91">
        <f t="shared" si="61"/>
        <v>4.5609518893982592</v>
      </c>
      <c r="Y91">
        <f t="shared" si="61"/>
        <v>4.6689760500700634</v>
      </c>
      <c r="Z91">
        <f t="shared" si="61"/>
        <v>4.7562391565130779</v>
      </c>
      <c r="AA91">
        <f t="shared" si="61"/>
        <v>4.8259375728993277</v>
      </c>
      <c r="AB91">
        <f t="shared" si="61"/>
        <v>4.8807758778693762</v>
      </c>
      <c r="AC91">
        <f t="shared" si="61"/>
        <v>4.9230424819979</v>
      </c>
      <c r="AD91">
        <f t="shared" si="61"/>
        <v>4.9546736251940331</v>
      </c>
      <c r="AE91">
        <f t="shared" ref="AE91:AM105" si="73">$N91*AE$80/$N$80</f>
        <v>4.9773075386631067</v>
      </c>
      <c r="AF91">
        <f t="shared" si="73"/>
        <v>4.9923302821198279</v>
      </c>
      <c r="AG91">
        <f t="shared" si="73"/>
        <v>5.0009145350333544</v>
      </c>
      <c r="AH91">
        <f t="shared" si="73"/>
        <v>5.0040524243573703</v>
      </c>
      <c r="AI91">
        <f t="shared" si="73"/>
        <v>5.002583304996679</v>
      </c>
      <c r="AJ91">
        <f t="shared" si="73"/>
        <v>4.9972172685654099</v>
      </c>
      <c r="AK91">
        <f t="shared" si="73"/>
        <v>4.9885550368888518</v>
      </c>
      <c r="AL91">
        <f t="shared" si="73"/>
        <v>4.9771047958787999</v>
      </c>
      <c r="AM91">
        <f t="shared" si="73"/>
        <v>4.9632964400665305</v>
      </c>
    </row>
    <row r="92" spans="1:39" x14ac:dyDescent="0.2">
      <c r="A92" s="2" t="s">
        <v>18</v>
      </c>
      <c r="B92" s="2" t="s">
        <v>37</v>
      </c>
      <c r="C92" s="23">
        <v>1.2</v>
      </c>
      <c r="D92" s="23">
        <v>1.5</v>
      </c>
      <c r="E92" s="21">
        <f t="shared" ref="E92:N92" si="74">E14*E$80/E$2</f>
        <v>1.6651532727123257</v>
      </c>
      <c r="F92" s="21">
        <f t="shared" si="74"/>
        <v>1.7807455177825346</v>
      </c>
      <c r="G92" s="21">
        <f t="shared" si="74"/>
        <v>1.9719947798365771</v>
      </c>
      <c r="H92" s="21">
        <f t="shared" si="74"/>
        <v>2.1477654525738958</v>
      </c>
      <c r="I92" s="21">
        <f t="shared" si="74"/>
        <v>2.3889919182670112</v>
      </c>
      <c r="J92" s="21">
        <f t="shared" si="74"/>
        <v>2.5458636699516917</v>
      </c>
      <c r="K92" s="21">
        <f t="shared" si="74"/>
        <v>2.6903816539304808</v>
      </c>
      <c r="L92" s="21">
        <f t="shared" si="74"/>
        <v>2.8954966357141827</v>
      </c>
      <c r="M92" s="21">
        <f t="shared" si="74"/>
        <v>3.0146975951564201</v>
      </c>
      <c r="N92" s="21">
        <f t="shared" si="74"/>
        <v>3.1232368422590717</v>
      </c>
      <c r="O92">
        <f t="shared" si="63"/>
        <v>3.2381549565633305</v>
      </c>
      <c r="P92">
        <f t="shared" si="63"/>
        <v>3.3572182610295078</v>
      </c>
      <c r="Q92">
        <f t="shared" si="63"/>
        <v>3.4805724586862783</v>
      </c>
      <c r="R92">
        <f t="shared" si="63"/>
        <v>3.6083681947722965</v>
      </c>
      <c r="S92">
        <f t="shared" si="63"/>
        <v>3.7407612157190244</v>
      </c>
      <c r="T92">
        <f t="shared" si="63"/>
        <v>3.8592687225599764</v>
      </c>
      <c r="U92">
        <f t="shared" si="63"/>
        <v>3.981427771845643</v>
      </c>
      <c r="V92">
        <f t="shared" si="63"/>
        <v>4.1073466455822043</v>
      </c>
      <c r="W92">
        <f t="shared" si="63"/>
        <v>4.2371366569773583</v>
      </c>
      <c r="X92">
        <f t="shared" si="63"/>
        <v>4.3709122273399972</v>
      </c>
      <c r="Y92">
        <f t="shared" si="63"/>
        <v>4.4744353813171429</v>
      </c>
      <c r="Z92">
        <f t="shared" si="63"/>
        <v>4.5580625249916986</v>
      </c>
      <c r="AA92">
        <f t="shared" si="63"/>
        <v>4.6248568406951875</v>
      </c>
      <c r="AB92">
        <f t="shared" si="63"/>
        <v>4.6774102162914852</v>
      </c>
      <c r="AC92">
        <f t="shared" si="63"/>
        <v>4.717915711914654</v>
      </c>
      <c r="AD92">
        <f t="shared" si="63"/>
        <v>4.7482288908109478</v>
      </c>
      <c r="AE92">
        <f t="shared" si="73"/>
        <v>4.7699197245521434</v>
      </c>
      <c r="AF92">
        <f t="shared" si="73"/>
        <v>4.7843165203648352</v>
      </c>
      <c r="AG92">
        <f t="shared" si="73"/>
        <v>4.792543096073631</v>
      </c>
      <c r="AH92">
        <f t="shared" si="73"/>
        <v>4.7955502400091454</v>
      </c>
      <c r="AI92">
        <f t="shared" si="73"/>
        <v>4.7941423339551505</v>
      </c>
      <c r="AJ92">
        <f t="shared" si="73"/>
        <v>4.7889998823751831</v>
      </c>
      <c r="AK92">
        <f t="shared" si="73"/>
        <v>4.7806985770184811</v>
      </c>
      <c r="AL92">
        <f t="shared" si="73"/>
        <v>4.7697254293838496</v>
      </c>
      <c r="AM92">
        <f t="shared" si="73"/>
        <v>4.7564924217304236</v>
      </c>
    </row>
    <row r="93" spans="1:39" x14ac:dyDescent="0.2">
      <c r="A93" s="5" t="s">
        <v>19</v>
      </c>
      <c r="B93" s="2" t="s">
        <v>37</v>
      </c>
      <c r="C93" s="21">
        <v>1.1000000000000001</v>
      </c>
      <c r="D93" s="21">
        <v>1.2</v>
      </c>
      <c r="E93" s="21">
        <f t="shared" ref="E93:N93" si="75">E15*E$80/E$2</f>
        <v>1.2951192121095865</v>
      </c>
      <c r="F93" s="21">
        <f t="shared" si="75"/>
        <v>1.4245964142260279</v>
      </c>
      <c r="G93" s="21">
        <f t="shared" si="75"/>
        <v>1.5433002624807999</v>
      </c>
      <c r="H93" s="21">
        <f t="shared" si="75"/>
        <v>1.7347336347712237</v>
      </c>
      <c r="I93" s="21">
        <f t="shared" si="75"/>
        <v>1.8315604706713753</v>
      </c>
      <c r="J93" s="21">
        <f t="shared" si="75"/>
        <v>1.9286845984482515</v>
      </c>
      <c r="K93" s="21">
        <f t="shared" si="75"/>
        <v>2.0925190641681515</v>
      </c>
      <c r="L93" s="21">
        <f t="shared" si="75"/>
        <v>2.1716224767856369</v>
      </c>
      <c r="M93" s="21">
        <f t="shared" si="75"/>
        <v>2.3136051311665553</v>
      </c>
      <c r="N93" s="21">
        <f t="shared" si="75"/>
        <v>2.376375858240598</v>
      </c>
      <c r="O93">
        <f t="shared" si="63"/>
        <v>2.4638135539068822</v>
      </c>
      <c r="P93">
        <f t="shared" si="63"/>
        <v>2.5544051986094081</v>
      </c>
      <c r="Q93">
        <f t="shared" si="63"/>
        <v>2.6482616533482553</v>
      </c>
      <c r="R93">
        <f t="shared" si="63"/>
        <v>2.7454975395006609</v>
      </c>
      <c r="S93">
        <f t="shared" si="63"/>
        <v>2.8462313597862141</v>
      </c>
      <c r="T93">
        <f t="shared" si="63"/>
        <v>2.9364001149912866</v>
      </c>
      <c r="U93">
        <f t="shared" si="63"/>
        <v>3.0293472177086413</v>
      </c>
      <c r="V93">
        <f t="shared" si="63"/>
        <v>3.1251550564212427</v>
      </c>
      <c r="W93">
        <f t="shared" si="63"/>
        <v>3.2239083259610339</v>
      </c>
      <c r="X93">
        <f t="shared" si="63"/>
        <v>3.325694086019563</v>
      </c>
      <c r="Y93">
        <f t="shared" si="63"/>
        <v>3.4044617031760875</v>
      </c>
      <c r="Z93">
        <f t="shared" si="63"/>
        <v>3.468091051624119</v>
      </c>
      <c r="AA93">
        <f t="shared" si="63"/>
        <v>3.5189128135724257</v>
      </c>
      <c r="AB93">
        <f t="shared" si="63"/>
        <v>3.5588990776130864</v>
      </c>
      <c r="AC93">
        <f t="shared" si="63"/>
        <v>3.589718476456802</v>
      </c>
      <c r="AD93">
        <f t="shared" si="63"/>
        <v>3.6127828517039822</v>
      </c>
      <c r="AE93">
        <f t="shared" si="73"/>
        <v>3.6292867469418479</v>
      </c>
      <c r="AF93">
        <f t="shared" si="73"/>
        <v>3.6402408307123748</v>
      </c>
      <c r="AG93">
        <f t="shared" si="73"/>
        <v>3.6465001817951541</v>
      </c>
      <c r="AH93">
        <f t="shared" si="73"/>
        <v>3.6487882260939153</v>
      </c>
      <c r="AI93">
        <f t="shared" si="73"/>
        <v>3.6477169932267453</v>
      </c>
      <c r="AJ93">
        <f t="shared" si="73"/>
        <v>3.6438042583289434</v>
      </c>
      <c r="AK93">
        <f t="shared" si="73"/>
        <v>3.6374880477314533</v>
      </c>
      <c r="AL93">
        <f t="shared" si="73"/>
        <v>3.6291389136616243</v>
      </c>
      <c r="AM93">
        <f t="shared" si="73"/>
        <v>3.6190703208818449</v>
      </c>
    </row>
    <row r="94" spans="1:39" x14ac:dyDescent="0.2">
      <c r="A94" s="27" t="s">
        <v>66</v>
      </c>
      <c r="B94" s="2" t="s">
        <v>37</v>
      </c>
      <c r="C94" s="23">
        <v>1.3</v>
      </c>
      <c r="D94" s="23">
        <v>1.5</v>
      </c>
      <c r="E94" s="21">
        <f t="shared" ref="E94:N94" si="76">E16*E$80/E$2</f>
        <v>1.5726447575616407</v>
      </c>
      <c r="F94" s="21">
        <f t="shared" si="76"/>
        <v>1.6026709660042813</v>
      </c>
      <c r="G94" s="21">
        <f t="shared" si="76"/>
        <v>1.7147780694231107</v>
      </c>
      <c r="H94" s="21">
        <f t="shared" si="76"/>
        <v>1.8173399983317584</v>
      </c>
      <c r="I94" s="21">
        <f t="shared" si="76"/>
        <v>1.9111935346136091</v>
      </c>
      <c r="J94" s="21">
        <f t="shared" si="76"/>
        <v>2.0058319823861819</v>
      </c>
      <c r="K94" s="21">
        <f t="shared" si="76"/>
        <v>2.0925190641681515</v>
      </c>
      <c r="L94" s="21">
        <f t="shared" si="76"/>
        <v>2.2440098926784917</v>
      </c>
      <c r="M94" s="21">
        <f t="shared" si="76"/>
        <v>2.3136051311665553</v>
      </c>
      <c r="N94" s="21">
        <f t="shared" si="76"/>
        <v>2.376375858240598</v>
      </c>
      <c r="O94">
        <f t="shared" si="63"/>
        <v>2.4638135539068822</v>
      </c>
      <c r="P94">
        <f t="shared" si="63"/>
        <v>2.5544051986094081</v>
      </c>
      <c r="Q94">
        <f t="shared" si="63"/>
        <v>2.6482616533482553</v>
      </c>
      <c r="R94">
        <f t="shared" si="63"/>
        <v>2.7454975395006609</v>
      </c>
      <c r="S94">
        <f t="shared" si="63"/>
        <v>2.8462313597862141</v>
      </c>
      <c r="T94">
        <f t="shared" si="63"/>
        <v>2.9364001149912866</v>
      </c>
      <c r="U94">
        <f t="shared" si="63"/>
        <v>3.0293472177086413</v>
      </c>
      <c r="V94">
        <f t="shared" si="63"/>
        <v>3.1251550564212427</v>
      </c>
      <c r="W94">
        <f t="shared" si="63"/>
        <v>3.2239083259610339</v>
      </c>
      <c r="X94">
        <f t="shared" si="63"/>
        <v>3.325694086019563</v>
      </c>
      <c r="Y94">
        <f t="shared" si="63"/>
        <v>3.4044617031760875</v>
      </c>
      <c r="Z94">
        <f t="shared" si="63"/>
        <v>3.468091051624119</v>
      </c>
      <c r="AA94">
        <f t="shared" si="63"/>
        <v>3.5189128135724257</v>
      </c>
      <c r="AB94">
        <f t="shared" si="63"/>
        <v>3.5588990776130864</v>
      </c>
      <c r="AC94">
        <f t="shared" si="63"/>
        <v>3.589718476456802</v>
      </c>
      <c r="AD94">
        <f t="shared" si="63"/>
        <v>3.6127828517039822</v>
      </c>
      <c r="AE94">
        <f t="shared" si="73"/>
        <v>3.6292867469418479</v>
      </c>
      <c r="AF94">
        <f t="shared" si="73"/>
        <v>3.6402408307123748</v>
      </c>
      <c r="AG94">
        <f t="shared" si="73"/>
        <v>3.6465001817951541</v>
      </c>
      <c r="AH94">
        <f t="shared" si="73"/>
        <v>3.6487882260939153</v>
      </c>
      <c r="AI94">
        <f t="shared" si="73"/>
        <v>3.6477169932267453</v>
      </c>
      <c r="AJ94">
        <f t="shared" si="73"/>
        <v>3.6438042583289434</v>
      </c>
      <c r="AK94">
        <f t="shared" si="73"/>
        <v>3.6374880477314533</v>
      </c>
      <c r="AL94">
        <f t="shared" si="73"/>
        <v>3.6291389136616243</v>
      </c>
      <c r="AM94">
        <f t="shared" si="73"/>
        <v>3.6190703208818449</v>
      </c>
    </row>
    <row r="95" spans="1:39" x14ac:dyDescent="0.2">
      <c r="A95" s="5" t="s">
        <v>21</v>
      </c>
      <c r="B95" s="2" t="s">
        <v>37</v>
      </c>
      <c r="C95" s="21">
        <v>1.6</v>
      </c>
      <c r="D95" s="21">
        <v>1.7</v>
      </c>
      <c r="E95" s="21">
        <f t="shared" ref="E95:N95" si="77">E17*E$80/E$2</f>
        <v>1.6651532727123257</v>
      </c>
      <c r="F95" s="21">
        <f t="shared" si="77"/>
        <v>1.691708241893408</v>
      </c>
      <c r="G95" s="21">
        <f t="shared" si="77"/>
        <v>1.7147780694231107</v>
      </c>
      <c r="H95" s="21">
        <f t="shared" si="77"/>
        <v>1.8173399983317584</v>
      </c>
      <c r="I95" s="21">
        <f t="shared" si="77"/>
        <v>1.8315604706713753</v>
      </c>
      <c r="J95" s="21">
        <f t="shared" si="77"/>
        <v>1.9286845984482515</v>
      </c>
      <c r="K95" s="21">
        <f t="shared" si="77"/>
        <v>1.9430534167275697</v>
      </c>
      <c r="L95" s="21">
        <f t="shared" si="77"/>
        <v>2.0268476449999278</v>
      </c>
      <c r="M95" s="21">
        <f t="shared" si="77"/>
        <v>2.1032773919695957</v>
      </c>
      <c r="N95" s="21">
        <f t="shared" si="77"/>
        <v>2.104790045870244</v>
      </c>
      <c r="O95">
        <f t="shared" si="63"/>
        <v>2.1822348620318102</v>
      </c>
      <c r="P95">
        <f t="shared" si="63"/>
        <v>2.26247317591119</v>
      </c>
      <c r="Q95">
        <f t="shared" si="63"/>
        <v>2.3456031786798834</v>
      </c>
      <c r="R95">
        <f t="shared" si="63"/>
        <v>2.4317263921291565</v>
      </c>
      <c r="S95">
        <f t="shared" si="63"/>
        <v>2.5209477758106469</v>
      </c>
      <c r="T95">
        <f t="shared" si="63"/>
        <v>2.6008115304208537</v>
      </c>
      <c r="U95">
        <f t="shared" si="63"/>
        <v>2.6831361071133681</v>
      </c>
      <c r="V95">
        <f t="shared" si="63"/>
        <v>2.7679944785445292</v>
      </c>
      <c r="W95">
        <f t="shared" si="63"/>
        <v>2.8554616601369158</v>
      </c>
      <c r="X95">
        <f t="shared" si="63"/>
        <v>2.9456147619030419</v>
      </c>
      <c r="Y95">
        <f t="shared" si="63"/>
        <v>3.0153803656702487</v>
      </c>
      <c r="Z95">
        <f t="shared" si="63"/>
        <v>3.0717377885813621</v>
      </c>
      <c r="AA95">
        <f t="shared" si="63"/>
        <v>3.1167513491641485</v>
      </c>
      <c r="AB95">
        <f t="shared" si="63"/>
        <v>3.152167754457305</v>
      </c>
      <c r="AC95">
        <f t="shared" si="63"/>
        <v>3.17946493629031</v>
      </c>
      <c r="AD95">
        <f t="shared" si="63"/>
        <v>3.1998933829378129</v>
      </c>
      <c r="AE95">
        <f t="shared" si="73"/>
        <v>3.2145111187199222</v>
      </c>
      <c r="AF95">
        <f t="shared" si="73"/>
        <v>3.2242133072023886</v>
      </c>
      <c r="AG95">
        <f t="shared" si="73"/>
        <v>3.2297573038757079</v>
      </c>
      <c r="AH95">
        <f t="shared" si="73"/>
        <v>3.2317838573974678</v>
      </c>
      <c r="AI95">
        <f t="shared" si="73"/>
        <v>3.2308350511436883</v>
      </c>
      <c r="AJ95">
        <f t="shared" si="73"/>
        <v>3.2273694859484929</v>
      </c>
      <c r="AK95">
        <f t="shared" si="73"/>
        <v>3.2217751279907159</v>
      </c>
      <c r="AL95">
        <f t="shared" si="73"/>
        <v>3.2143801806717245</v>
      </c>
      <c r="AM95">
        <f t="shared" si="73"/>
        <v>3.2054622842096339</v>
      </c>
    </row>
    <row r="96" spans="1:39" x14ac:dyDescent="0.2">
      <c r="A96" s="2" t="s">
        <v>22</v>
      </c>
      <c r="B96" s="2" t="s">
        <v>37</v>
      </c>
      <c r="C96" s="23">
        <v>0.5</v>
      </c>
      <c r="D96" s="23">
        <v>0.6</v>
      </c>
      <c r="E96" s="21">
        <f t="shared" ref="E96:N96" si="78">E18*E$80/E$2</f>
        <v>0.64755960605479324</v>
      </c>
      <c r="F96" s="21">
        <f t="shared" si="78"/>
        <v>0.71229820711301395</v>
      </c>
      <c r="G96" s="21">
        <f t="shared" si="78"/>
        <v>0.77165013124039994</v>
      </c>
      <c r="H96" s="21">
        <f t="shared" si="78"/>
        <v>0.82606363560534457</v>
      </c>
      <c r="I96" s="21">
        <f t="shared" si="78"/>
        <v>0.95559676730680454</v>
      </c>
      <c r="J96" s="21">
        <f t="shared" si="78"/>
        <v>1.0029159911930909</v>
      </c>
      <c r="K96" s="21">
        <f t="shared" si="78"/>
        <v>1.1209923558043671</v>
      </c>
      <c r="L96" s="21">
        <f t="shared" si="78"/>
        <v>1.1581986542856733</v>
      </c>
      <c r="M96" s="21">
        <f t="shared" si="78"/>
        <v>1.2619664351817574</v>
      </c>
      <c r="N96" s="21">
        <f t="shared" si="78"/>
        <v>1.2900326087591818</v>
      </c>
      <c r="O96">
        <f t="shared" si="63"/>
        <v>1.3374987864065933</v>
      </c>
      <c r="P96">
        <f t="shared" si="63"/>
        <v>1.3866771078165356</v>
      </c>
      <c r="Q96">
        <f t="shared" si="63"/>
        <v>1.4376277546747671</v>
      </c>
      <c r="R96">
        <f t="shared" si="63"/>
        <v>1.4904129500146441</v>
      </c>
      <c r="S96">
        <f t="shared" si="63"/>
        <v>1.5450970238839448</v>
      </c>
      <c r="T96">
        <f t="shared" si="63"/>
        <v>1.5940457767095555</v>
      </c>
      <c r="U96">
        <f t="shared" si="63"/>
        <v>1.6445027753275481</v>
      </c>
      <c r="V96">
        <f t="shared" si="63"/>
        <v>1.6965127449143889</v>
      </c>
      <c r="W96">
        <f t="shared" si="63"/>
        <v>1.750121662664561</v>
      </c>
      <c r="X96">
        <f t="shared" si="63"/>
        <v>1.8053767895534774</v>
      </c>
      <c r="Y96">
        <f t="shared" si="63"/>
        <v>1.8481363531527331</v>
      </c>
      <c r="Z96">
        <f t="shared" si="63"/>
        <v>1.8826779994530929</v>
      </c>
      <c r="AA96">
        <f t="shared" si="63"/>
        <v>1.9102669559393168</v>
      </c>
      <c r="AB96">
        <f t="shared" si="63"/>
        <v>1.9319737849899612</v>
      </c>
      <c r="AC96">
        <f t="shared" si="63"/>
        <v>1.948704315790835</v>
      </c>
      <c r="AD96">
        <f t="shared" si="63"/>
        <v>1.9612249766393046</v>
      </c>
      <c r="AE96">
        <f t="shared" si="73"/>
        <v>1.9701842340541458</v>
      </c>
      <c r="AF96">
        <f t="shared" si="73"/>
        <v>1.9761307366724321</v>
      </c>
      <c r="AG96">
        <f t="shared" si="73"/>
        <v>1.9795286701173693</v>
      </c>
      <c r="AH96">
        <f t="shared" si="73"/>
        <v>1.9807707513081254</v>
      </c>
      <c r="AI96">
        <f t="shared" si="73"/>
        <v>1.9801892248945188</v>
      </c>
      <c r="AJ96">
        <f t="shared" si="73"/>
        <v>1.9780651688071409</v>
      </c>
      <c r="AK96">
        <f t="shared" si="73"/>
        <v>1.9746363687685033</v>
      </c>
      <c r="AL96">
        <f t="shared" si="73"/>
        <v>1.9701039817020247</v>
      </c>
      <c r="AM96">
        <f t="shared" si="73"/>
        <v>1.9646381741930015</v>
      </c>
    </row>
    <row r="97" spans="1:39" x14ac:dyDescent="0.2">
      <c r="A97" s="5" t="s">
        <v>23</v>
      </c>
      <c r="B97" s="2" t="s">
        <v>37</v>
      </c>
      <c r="C97" s="21">
        <v>1</v>
      </c>
      <c r="D97" s="21">
        <v>1</v>
      </c>
      <c r="E97" s="21">
        <f t="shared" ref="E97:N97" si="79">E19*E$80/E$2</f>
        <v>1.0175936666575325</v>
      </c>
      <c r="F97" s="21">
        <f t="shared" si="79"/>
        <v>1.0684473106695207</v>
      </c>
      <c r="G97" s="21">
        <f t="shared" si="79"/>
        <v>1.114605745125022</v>
      </c>
      <c r="H97" s="21">
        <f t="shared" si="79"/>
        <v>1.0738827262869479</v>
      </c>
      <c r="I97" s="21">
        <f t="shared" si="79"/>
        <v>1.1148628951912718</v>
      </c>
      <c r="J97" s="21">
        <f t="shared" si="79"/>
        <v>1.1572107590689509</v>
      </c>
      <c r="K97" s="21">
        <f t="shared" si="79"/>
        <v>1.1957251795246584</v>
      </c>
      <c r="L97" s="21">
        <f t="shared" si="79"/>
        <v>1.2305860701785278</v>
      </c>
      <c r="M97" s="21">
        <f t="shared" si="79"/>
        <v>1.2619664351817574</v>
      </c>
      <c r="N97" s="21">
        <f t="shared" si="79"/>
        <v>1.2900326087591818</v>
      </c>
      <c r="O97">
        <f t="shared" si="63"/>
        <v>1.3374987864065933</v>
      </c>
      <c r="P97">
        <f t="shared" si="63"/>
        <v>1.3866771078165356</v>
      </c>
      <c r="Q97">
        <f t="shared" si="63"/>
        <v>1.4376277546747671</v>
      </c>
      <c r="R97">
        <f t="shared" si="63"/>
        <v>1.4904129500146441</v>
      </c>
      <c r="S97">
        <f t="shared" si="63"/>
        <v>1.5450970238839448</v>
      </c>
      <c r="T97">
        <f t="shared" si="63"/>
        <v>1.5940457767095555</v>
      </c>
      <c r="U97">
        <f t="shared" si="63"/>
        <v>1.6445027753275481</v>
      </c>
      <c r="V97">
        <f t="shared" si="63"/>
        <v>1.6965127449143889</v>
      </c>
      <c r="W97">
        <f t="shared" si="63"/>
        <v>1.750121662664561</v>
      </c>
      <c r="X97">
        <f t="shared" si="63"/>
        <v>1.8053767895534774</v>
      </c>
      <c r="Y97">
        <f t="shared" si="63"/>
        <v>1.8481363531527331</v>
      </c>
      <c r="Z97">
        <f t="shared" si="63"/>
        <v>1.8826779994530929</v>
      </c>
      <c r="AA97">
        <f t="shared" si="63"/>
        <v>1.9102669559393168</v>
      </c>
      <c r="AB97">
        <f t="shared" si="63"/>
        <v>1.9319737849899612</v>
      </c>
      <c r="AC97">
        <f t="shared" si="63"/>
        <v>1.948704315790835</v>
      </c>
      <c r="AD97">
        <f t="shared" si="63"/>
        <v>1.9612249766393046</v>
      </c>
      <c r="AE97">
        <f t="shared" si="73"/>
        <v>1.9701842340541458</v>
      </c>
      <c r="AF97">
        <f t="shared" si="73"/>
        <v>1.9761307366724321</v>
      </c>
      <c r="AG97">
        <f t="shared" si="73"/>
        <v>1.9795286701173693</v>
      </c>
      <c r="AH97">
        <f t="shared" si="73"/>
        <v>1.9807707513081254</v>
      </c>
      <c r="AI97">
        <f t="shared" si="73"/>
        <v>1.9801892248945188</v>
      </c>
      <c r="AJ97">
        <f t="shared" si="73"/>
        <v>1.9780651688071409</v>
      </c>
      <c r="AK97">
        <f t="shared" si="73"/>
        <v>1.9746363687685033</v>
      </c>
      <c r="AL97">
        <f t="shared" si="73"/>
        <v>1.9701039817020247</v>
      </c>
      <c r="AM97">
        <f t="shared" si="73"/>
        <v>1.9646381741930015</v>
      </c>
    </row>
    <row r="98" spans="1:39" x14ac:dyDescent="0.2">
      <c r="A98" s="2" t="s">
        <v>24</v>
      </c>
      <c r="B98" s="2" t="s">
        <v>37</v>
      </c>
      <c r="C98" s="23">
        <v>0.5</v>
      </c>
      <c r="D98" s="23">
        <v>0.6</v>
      </c>
      <c r="E98" s="21">
        <f t="shared" ref="E98:N98" si="80">E20*E$80/E$2</f>
        <v>0.64755960605479324</v>
      </c>
      <c r="F98" s="21">
        <f t="shared" si="80"/>
        <v>0.71229820711301395</v>
      </c>
      <c r="G98" s="21">
        <f t="shared" si="80"/>
        <v>0.77165013124039994</v>
      </c>
      <c r="H98" s="21">
        <f t="shared" si="80"/>
        <v>0.90866999916587921</v>
      </c>
      <c r="I98" s="21">
        <f t="shared" si="80"/>
        <v>0.95559676730680454</v>
      </c>
      <c r="J98" s="21">
        <f t="shared" si="80"/>
        <v>1.0029159911930909</v>
      </c>
      <c r="K98" s="21">
        <f t="shared" si="80"/>
        <v>1.0462595320840757</v>
      </c>
      <c r="L98" s="21">
        <f t="shared" si="80"/>
        <v>1.1581986542856733</v>
      </c>
      <c r="M98" s="21">
        <f t="shared" si="80"/>
        <v>1.1918571887827707</v>
      </c>
      <c r="N98" s="21">
        <f t="shared" si="80"/>
        <v>1.2900326087591818</v>
      </c>
      <c r="O98">
        <f t="shared" si="63"/>
        <v>1.3374987864065933</v>
      </c>
      <c r="P98">
        <f t="shared" si="63"/>
        <v>1.3866771078165356</v>
      </c>
      <c r="Q98">
        <f t="shared" si="63"/>
        <v>1.4376277546747671</v>
      </c>
      <c r="R98">
        <f t="shared" si="63"/>
        <v>1.4904129500146441</v>
      </c>
      <c r="S98">
        <f t="shared" si="63"/>
        <v>1.5450970238839448</v>
      </c>
      <c r="T98">
        <f t="shared" si="63"/>
        <v>1.5940457767095555</v>
      </c>
      <c r="U98">
        <f t="shared" si="63"/>
        <v>1.6445027753275481</v>
      </c>
      <c r="V98">
        <f t="shared" si="63"/>
        <v>1.6965127449143889</v>
      </c>
      <c r="W98">
        <f t="shared" si="63"/>
        <v>1.750121662664561</v>
      </c>
      <c r="X98">
        <f t="shared" si="63"/>
        <v>1.8053767895534774</v>
      </c>
      <c r="Y98">
        <f t="shared" si="63"/>
        <v>1.8481363531527331</v>
      </c>
      <c r="Z98">
        <f t="shared" si="63"/>
        <v>1.8826779994530929</v>
      </c>
      <c r="AA98">
        <f t="shared" si="63"/>
        <v>1.9102669559393168</v>
      </c>
      <c r="AB98">
        <f t="shared" si="63"/>
        <v>1.9319737849899612</v>
      </c>
      <c r="AC98">
        <f t="shared" si="63"/>
        <v>1.948704315790835</v>
      </c>
      <c r="AD98">
        <f t="shared" si="63"/>
        <v>1.9612249766393046</v>
      </c>
      <c r="AE98">
        <f t="shared" si="73"/>
        <v>1.9701842340541458</v>
      </c>
      <c r="AF98">
        <f t="shared" si="73"/>
        <v>1.9761307366724321</v>
      </c>
      <c r="AG98">
        <f t="shared" si="73"/>
        <v>1.9795286701173693</v>
      </c>
      <c r="AH98">
        <f t="shared" si="73"/>
        <v>1.9807707513081254</v>
      </c>
      <c r="AI98">
        <f t="shared" si="73"/>
        <v>1.9801892248945188</v>
      </c>
      <c r="AJ98">
        <f t="shared" si="73"/>
        <v>1.9780651688071409</v>
      </c>
      <c r="AK98">
        <f t="shared" si="73"/>
        <v>1.9746363687685033</v>
      </c>
      <c r="AL98">
        <f t="shared" si="73"/>
        <v>1.9701039817020247</v>
      </c>
      <c r="AM98">
        <f t="shared" si="73"/>
        <v>1.9646381741930015</v>
      </c>
    </row>
    <row r="99" spans="1:39" x14ac:dyDescent="0.2">
      <c r="A99" s="5" t="s">
        <v>25</v>
      </c>
      <c r="B99" s="2" t="s">
        <v>37</v>
      </c>
      <c r="C99" s="21">
        <v>0.5</v>
      </c>
      <c r="D99" s="21">
        <v>0.6</v>
      </c>
      <c r="E99" s="21">
        <f t="shared" ref="E99:N99" si="81">E21*E$80/E$2</f>
        <v>0.64755960605479324</v>
      </c>
      <c r="F99" s="21">
        <f t="shared" si="81"/>
        <v>0.71229820711301395</v>
      </c>
      <c r="G99" s="21">
        <f t="shared" si="81"/>
        <v>0.77165013124039994</v>
      </c>
      <c r="H99" s="21">
        <f t="shared" si="81"/>
        <v>0.82606363560534457</v>
      </c>
      <c r="I99" s="21">
        <f t="shared" si="81"/>
        <v>0.87596370336457097</v>
      </c>
      <c r="J99" s="21">
        <f t="shared" si="81"/>
        <v>0.92576860725516075</v>
      </c>
      <c r="K99" s="21">
        <f t="shared" si="81"/>
        <v>0.97152670836378485</v>
      </c>
      <c r="L99" s="21">
        <f t="shared" si="81"/>
        <v>1.0134238224999639</v>
      </c>
      <c r="M99" s="21">
        <f t="shared" si="81"/>
        <v>1.0516386959847979</v>
      </c>
      <c r="N99" s="21">
        <f t="shared" si="81"/>
        <v>1.1542397025740048</v>
      </c>
      <c r="O99">
        <f t="shared" si="63"/>
        <v>1.1967094404690568</v>
      </c>
      <c r="P99">
        <f t="shared" si="63"/>
        <v>1.2407110964674268</v>
      </c>
      <c r="Q99">
        <f t="shared" si="63"/>
        <v>1.286298517340581</v>
      </c>
      <c r="R99">
        <f t="shared" si="63"/>
        <v>1.3335273763288924</v>
      </c>
      <c r="S99">
        <f t="shared" si="63"/>
        <v>1.3824552318961612</v>
      </c>
      <c r="T99">
        <f t="shared" si="63"/>
        <v>1.426251484424339</v>
      </c>
      <c r="U99">
        <f t="shared" si="63"/>
        <v>1.4713972200299117</v>
      </c>
      <c r="V99">
        <f t="shared" si="63"/>
        <v>1.5179324559760321</v>
      </c>
      <c r="W99">
        <f t="shared" si="63"/>
        <v>1.565898329752502</v>
      </c>
      <c r="X99">
        <f t="shared" si="63"/>
        <v>1.6153371274952164</v>
      </c>
      <c r="Y99">
        <f t="shared" si="63"/>
        <v>1.6535956843998139</v>
      </c>
      <c r="Z99">
        <f t="shared" si="63"/>
        <v>1.6845013679317149</v>
      </c>
      <c r="AA99">
        <f t="shared" si="63"/>
        <v>1.7091862237351783</v>
      </c>
      <c r="AB99">
        <f t="shared" si="63"/>
        <v>1.7286081234120705</v>
      </c>
      <c r="AC99">
        <f t="shared" si="63"/>
        <v>1.7435775457075893</v>
      </c>
      <c r="AD99">
        <f t="shared" si="63"/>
        <v>1.75478024225622</v>
      </c>
      <c r="AE99">
        <f t="shared" si="73"/>
        <v>1.7627964199431831</v>
      </c>
      <c r="AF99">
        <f t="shared" si="73"/>
        <v>1.7681169749174392</v>
      </c>
      <c r="AG99">
        <f t="shared" si="73"/>
        <v>1.7711572311576462</v>
      </c>
      <c r="AH99">
        <f t="shared" si="73"/>
        <v>1.7722685669599016</v>
      </c>
      <c r="AI99">
        <f t="shared" si="73"/>
        <v>1.7717482538529903</v>
      </c>
      <c r="AJ99">
        <f t="shared" si="73"/>
        <v>1.7698477826169154</v>
      </c>
      <c r="AK99">
        <f t="shared" si="73"/>
        <v>1.7667799088981346</v>
      </c>
      <c r="AL99">
        <f t="shared" si="73"/>
        <v>1.7627246152070748</v>
      </c>
      <c r="AM99">
        <f t="shared" si="73"/>
        <v>1.757834155856896</v>
      </c>
    </row>
    <row r="100" spans="1:39" x14ac:dyDescent="0.2">
      <c r="A100" s="2" t="s">
        <v>26</v>
      </c>
      <c r="B100" s="2" t="s">
        <v>37</v>
      </c>
      <c r="C100" s="23">
        <v>0.6</v>
      </c>
      <c r="D100" s="23">
        <v>0.6</v>
      </c>
      <c r="E100" s="21">
        <f t="shared" ref="E100:N100" si="82">E22*E$80/E$2</f>
        <v>0.64755960605479324</v>
      </c>
      <c r="F100" s="21">
        <f t="shared" si="82"/>
        <v>0.62326093122388715</v>
      </c>
      <c r="G100" s="21">
        <f t="shared" si="82"/>
        <v>0.68591122776924429</v>
      </c>
      <c r="H100" s="21">
        <f t="shared" si="82"/>
        <v>0.74345727204481016</v>
      </c>
      <c r="I100" s="21">
        <f t="shared" si="82"/>
        <v>0.71669757548010338</v>
      </c>
      <c r="J100" s="21">
        <f t="shared" si="82"/>
        <v>0.77147383937930059</v>
      </c>
      <c r="K100" s="21">
        <f t="shared" si="82"/>
        <v>0.82206106092320252</v>
      </c>
      <c r="L100" s="21">
        <f t="shared" si="82"/>
        <v>0.79626157482140036</v>
      </c>
      <c r="M100" s="21">
        <f t="shared" si="82"/>
        <v>0.84131095678783818</v>
      </c>
      <c r="N100" s="21">
        <f t="shared" si="82"/>
        <v>0.88265389020365081</v>
      </c>
      <c r="O100">
        <f t="shared" si="63"/>
        <v>0.91513074859398491</v>
      </c>
      <c r="P100">
        <f t="shared" si="63"/>
        <v>0.94877907376920889</v>
      </c>
      <c r="Q100">
        <f t="shared" si="63"/>
        <v>0.98364004267220917</v>
      </c>
      <c r="R100">
        <f t="shared" si="63"/>
        <v>1.0197562289573883</v>
      </c>
      <c r="S100">
        <f t="shared" si="63"/>
        <v>1.0571716479205939</v>
      </c>
      <c r="T100">
        <f t="shared" si="63"/>
        <v>1.0906628998539065</v>
      </c>
      <c r="U100">
        <f t="shared" si="63"/>
        <v>1.1251861094346383</v>
      </c>
      <c r="V100">
        <f t="shared" si="63"/>
        <v>1.1607718780993188</v>
      </c>
      <c r="W100">
        <f t="shared" si="63"/>
        <v>1.1974516639283841</v>
      </c>
      <c r="X100">
        <f t="shared" si="63"/>
        <v>1.235257803378695</v>
      </c>
      <c r="Y100">
        <f t="shared" si="63"/>
        <v>1.2645143468939755</v>
      </c>
      <c r="Z100">
        <f t="shared" si="63"/>
        <v>1.2881481048889585</v>
      </c>
      <c r="AA100">
        <f t="shared" si="63"/>
        <v>1.3070247593269011</v>
      </c>
      <c r="AB100">
        <f t="shared" si="63"/>
        <v>1.3218768002562893</v>
      </c>
      <c r="AC100">
        <f t="shared" si="63"/>
        <v>1.333324005541098</v>
      </c>
      <c r="AD100">
        <f t="shared" si="63"/>
        <v>1.3418907734900507</v>
      </c>
      <c r="AE100">
        <f t="shared" si="73"/>
        <v>1.3480207917212579</v>
      </c>
      <c r="AF100">
        <f t="shared" si="73"/>
        <v>1.3520894514074535</v>
      </c>
      <c r="AG100">
        <f t="shared" si="73"/>
        <v>1.3544143532382003</v>
      </c>
      <c r="AH100">
        <f t="shared" si="73"/>
        <v>1.3552641982634543</v>
      </c>
      <c r="AI100">
        <f t="shared" si="73"/>
        <v>1.354866311769934</v>
      </c>
      <c r="AJ100">
        <f t="shared" si="73"/>
        <v>1.353413010236465</v>
      </c>
      <c r="AK100">
        <f t="shared" si="73"/>
        <v>1.3510669891573974</v>
      </c>
      <c r="AL100">
        <f t="shared" si="73"/>
        <v>1.3479658822171749</v>
      </c>
      <c r="AM100">
        <f t="shared" si="73"/>
        <v>1.3442261191846852</v>
      </c>
    </row>
    <row r="101" spans="1:39" x14ac:dyDescent="0.2">
      <c r="A101" s="5" t="s">
        <v>27</v>
      </c>
      <c r="B101" s="2" t="s">
        <v>37</v>
      </c>
      <c r="C101" s="21">
        <v>0.6</v>
      </c>
      <c r="D101" s="21">
        <v>0.7</v>
      </c>
      <c r="E101" s="21">
        <f t="shared" ref="E101:N101" si="83">E23*E$80/E$2</f>
        <v>0.64755960605479324</v>
      </c>
      <c r="F101" s="21">
        <f t="shared" si="83"/>
        <v>0.71229820711301395</v>
      </c>
      <c r="G101" s="21">
        <f t="shared" si="83"/>
        <v>0.68591122776924429</v>
      </c>
      <c r="H101" s="21">
        <f t="shared" si="83"/>
        <v>0.74345727204481016</v>
      </c>
      <c r="I101" s="21">
        <f t="shared" si="83"/>
        <v>0.71669757548010338</v>
      </c>
      <c r="J101" s="21">
        <f t="shared" si="83"/>
        <v>0.77147383937930059</v>
      </c>
      <c r="K101" s="21">
        <f t="shared" si="83"/>
        <v>0.82206106092320252</v>
      </c>
      <c r="L101" s="21">
        <f t="shared" si="83"/>
        <v>0.79626157482140036</v>
      </c>
      <c r="M101" s="21">
        <f t="shared" si="83"/>
        <v>0.84131095678783818</v>
      </c>
      <c r="N101" s="21">
        <f t="shared" si="83"/>
        <v>0.8147574371110623</v>
      </c>
      <c r="O101">
        <f t="shared" si="63"/>
        <v>0.8447360756252168</v>
      </c>
      <c r="P101">
        <f t="shared" si="63"/>
        <v>0.87579606809465427</v>
      </c>
      <c r="Q101">
        <f t="shared" si="63"/>
        <v>0.90797542400511611</v>
      </c>
      <c r="R101">
        <f t="shared" si="63"/>
        <v>0.94131344211451229</v>
      </c>
      <c r="S101">
        <f t="shared" si="63"/>
        <v>0.97585075192670212</v>
      </c>
      <c r="T101">
        <f t="shared" si="63"/>
        <v>1.0067657537112984</v>
      </c>
      <c r="U101">
        <f t="shared" si="63"/>
        <v>1.0386333317858201</v>
      </c>
      <c r="V101">
        <f t="shared" si="63"/>
        <v>1.0714817336301405</v>
      </c>
      <c r="W101">
        <f t="shared" si="63"/>
        <v>1.1053399974723546</v>
      </c>
      <c r="X101">
        <f t="shared" si="63"/>
        <v>1.1402379723495648</v>
      </c>
      <c r="Y101">
        <f t="shared" si="63"/>
        <v>1.1672440125175159</v>
      </c>
      <c r="Z101">
        <f t="shared" si="63"/>
        <v>1.1890597891282695</v>
      </c>
      <c r="AA101">
        <f t="shared" si="63"/>
        <v>1.2064843932248319</v>
      </c>
      <c r="AB101">
        <f t="shared" si="63"/>
        <v>1.220193969467344</v>
      </c>
      <c r="AC101">
        <f t="shared" si="63"/>
        <v>1.230760620499475</v>
      </c>
      <c r="AD101">
        <f t="shared" si="63"/>
        <v>1.2386684062985083</v>
      </c>
      <c r="AE101">
        <f t="shared" si="73"/>
        <v>1.2443268846657767</v>
      </c>
      <c r="AF101">
        <f t="shared" si="73"/>
        <v>1.248082570529957</v>
      </c>
      <c r="AG101">
        <f t="shared" si="73"/>
        <v>1.2502286337583386</v>
      </c>
      <c r="AH101">
        <f t="shared" si="73"/>
        <v>1.2510131060893426</v>
      </c>
      <c r="AI101">
        <f t="shared" si="73"/>
        <v>1.2506458262491698</v>
      </c>
      <c r="AJ101">
        <f t="shared" si="73"/>
        <v>1.2493043171413525</v>
      </c>
      <c r="AK101">
        <f t="shared" si="73"/>
        <v>1.247138759222213</v>
      </c>
      <c r="AL101">
        <f t="shared" si="73"/>
        <v>1.2442761989697</v>
      </c>
      <c r="AM101">
        <f t="shared" si="73"/>
        <v>1.2408241100166326</v>
      </c>
    </row>
    <row r="102" spans="1:39" x14ac:dyDescent="0.2">
      <c r="A102" s="2" t="s">
        <v>28</v>
      </c>
      <c r="B102" s="2" t="s">
        <v>37</v>
      </c>
      <c r="C102" s="23">
        <v>0.5</v>
      </c>
      <c r="D102" s="23">
        <v>0.6</v>
      </c>
      <c r="E102" s="21">
        <f t="shared" ref="E102:N102" si="84">E24*E$80/E$2</f>
        <v>0.55505109090410854</v>
      </c>
      <c r="F102" s="21">
        <f t="shared" si="84"/>
        <v>0.62326093122388715</v>
      </c>
      <c r="G102" s="21">
        <f t="shared" si="84"/>
        <v>0.60017232429808876</v>
      </c>
      <c r="H102" s="21">
        <f t="shared" si="84"/>
        <v>0.66085090848427563</v>
      </c>
      <c r="I102" s="21">
        <f t="shared" si="84"/>
        <v>0.71669757548010338</v>
      </c>
      <c r="J102" s="21">
        <f t="shared" si="84"/>
        <v>0.6943264554413705</v>
      </c>
      <c r="K102" s="21">
        <f t="shared" si="84"/>
        <v>0.74732823720291131</v>
      </c>
      <c r="L102" s="21">
        <f t="shared" si="84"/>
        <v>0.79626157482140036</v>
      </c>
      <c r="M102" s="21">
        <f t="shared" si="84"/>
        <v>0.77120171038885177</v>
      </c>
      <c r="N102" s="21">
        <f t="shared" si="84"/>
        <v>0.8147574371110623</v>
      </c>
      <c r="O102">
        <f t="shared" si="63"/>
        <v>0.8447360756252168</v>
      </c>
      <c r="P102">
        <f t="shared" si="63"/>
        <v>0.87579606809465427</v>
      </c>
      <c r="Q102">
        <f t="shared" si="63"/>
        <v>0.90797542400511611</v>
      </c>
      <c r="R102">
        <f t="shared" si="63"/>
        <v>0.94131344211451229</v>
      </c>
      <c r="S102">
        <f t="shared" si="63"/>
        <v>0.97585075192670212</v>
      </c>
      <c r="T102">
        <f t="shared" si="63"/>
        <v>1.0067657537112984</v>
      </c>
      <c r="U102">
        <f t="shared" si="63"/>
        <v>1.0386333317858201</v>
      </c>
      <c r="V102">
        <f t="shared" si="63"/>
        <v>1.0714817336301405</v>
      </c>
      <c r="W102">
        <f t="shared" si="63"/>
        <v>1.1053399974723546</v>
      </c>
      <c r="X102">
        <f t="shared" si="63"/>
        <v>1.1402379723495648</v>
      </c>
      <c r="Y102">
        <f t="shared" si="63"/>
        <v>1.1672440125175159</v>
      </c>
      <c r="Z102">
        <f t="shared" si="63"/>
        <v>1.1890597891282695</v>
      </c>
      <c r="AA102">
        <f t="shared" si="63"/>
        <v>1.2064843932248319</v>
      </c>
      <c r="AB102">
        <f t="shared" si="63"/>
        <v>1.220193969467344</v>
      </c>
      <c r="AC102">
        <f t="shared" si="63"/>
        <v>1.230760620499475</v>
      </c>
      <c r="AD102">
        <f t="shared" si="63"/>
        <v>1.2386684062985083</v>
      </c>
      <c r="AE102">
        <f t="shared" si="73"/>
        <v>1.2443268846657767</v>
      </c>
      <c r="AF102">
        <f t="shared" si="73"/>
        <v>1.248082570529957</v>
      </c>
      <c r="AG102">
        <f t="shared" si="73"/>
        <v>1.2502286337583386</v>
      </c>
      <c r="AH102">
        <f t="shared" si="73"/>
        <v>1.2510131060893426</v>
      </c>
      <c r="AI102">
        <f t="shared" si="73"/>
        <v>1.2506458262491698</v>
      </c>
      <c r="AJ102">
        <f t="shared" si="73"/>
        <v>1.2493043171413525</v>
      </c>
      <c r="AK102">
        <f t="shared" si="73"/>
        <v>1.247138759222213</v>
      </c>
      <c r="AL102">
        <f t="shared" si="73"/>
        <v>1.2442761989697</v>
      </c>
      <c r="AM102">
        <f t="shared" si="73"/>
        <v>1.2408241100166326</v>
      </c>
    </row>
    <row r="103" spans="1:39" x14ac:dyDescent="0.2">
      <c r="A103" s="5" t="s">
        <v>29</v>
      </c>
      <c r="B103" s="2" t="s">
        <v>37</v>
      </c>
      <c r="C103" s="21">
        <v>0.4</v>
      </c>
      <c r="D103" s="21">
        <v>0.5</v>
      </c>
      <c r="E103" s="21">
        <f t="shared" ref="E103:N103" si="85">E25*E$80/E$2</f>
        <v>0.46254257575342378</v>
      </c>
      <c r="F103" s="21">
        <f t="shared" si="85"/>
        <v>0.44518637944563366</v>
      </c>
      <c r="G103" s="21">
        <f t="shared" si="85"/>
        <v>0.51443342082693322</v>
      </c>
      <c r="H103" s="21">
        <f t="shared" si="85"/>
        <v>0.49563818136320675</v>
      </c>
      <c r="I103" s="21">
        <f t="shared" si="85"/>
        <v>0.5574314475956359</v>
      </c>
      <c r="J103" s="21">
        <f t="shared" si="85"/>
        <v>0.54003168756551045</v>
      </c>
      <c r="K103" s="21">
        <f t="shared" si="85"/>
        <v>0.5978625897623292</v>
      </c>
      <c r="L103" s="21">
        <f t="shared" si="85"/>
        <v>0.57909932714283663</v>
      </c>
      <c r="M103" s="21">
        <f t="shared" si="85"/>
        <v>0.63098321759087872</v>
      </c>
      <c r="N103" s="21">
        <f t="shared" si="85"/>
        <v>0.61106807783329675</v>
      </c>
      <c r="O103">
        <f t="shared" si="63"/>
        <v>0.63355205671891268</v>
      </c>
      <c r="P103">
        <f t="shared" si="63"/>
        <v>0.65684705107099084</v>
      </c>
      <c r="Q103">
        <f t="shared" si="63"/>
        <v>0.68098156800383713</v>
      </c>
      <c r="R103">
        <f t="shared" si="63"/>
        <v>0.70598508158588436</v>
      </c>
      <c r="S103">
        <f t="shared" si="63"/>
        <v>0.73188806394502659</v>
      </c>
      <c r="T103">
        <f t="shared" si="63"/>
        <v>0.7550743152834738</v>
      </c>
      <c r="U103">
        <f t="shared" si="63"/>
        <v>0.77897499883936516</v>
      </c>
      <c r="V103">
        <f t="shared" si="63"/>
        <v>0.8036113002226053</v>
      </c>
      <c r="W103">
        <f t="shared" si="63"/>
        <v>0.82900499810426598</v>
      </c>
      <c r="X103">
        <f t="shared" si="63"/>
        <v>0.85517847926217361</v>
      </c>
      <c r="Y103">
        <f t="shared" si="63"/>
        <v>0.87543300938813684</v>
      </c>
      <c r="Z103">
        <f t="shared" si="63"/>
        <v>0.89179484184620206</v>
      </c>
      <c r="AA103">
        <f t="shared" si="63"/>
        <v>0.90486329491862394</v>
      </c>
      <c r="AB103">
        <f t="shared" si="63"/>
        <v>0.91514547710050809</v>
      </c>
      <c r="AC103">
        <f t="shared" si="63"/>
        <v>0.92307046537460635</v>
      </c>
      <c r="AD103">
        <f t="shared" si="63"/>
        <v>0.92900130472388132</v>
      </c>
      <c r="AE103">
        <f t="shared" si="73"/>
        <v>0.93324516349933251</v>
      </c>
      <c r="AF103">
        <f t="shared" si="73"/>
        <v>0.936061927897468</v>
      </c>
      <c r="AG103">
        <f t="shared" si="73"/>
        <v>0.93767147531875406</v>
      </c>
      <c r="AH103">
        <f t="shared" si="73"/>
        <v>0.93825982956700693</v>
      </c>
      <c r="AI103">
        <f t="shared" si="73"/>
        <v>0.93798436968687748</v>
      </c>
      <c r="AJ103">
        <f t="shared" si="73"/>
        <v>0.9369782378560142</v>
      </c>
      <c r="AK103">
        <f t="shared" si="73"/>
        <v>0.93535406941665966</v>
      </c>
      <c r="AL103">
        <f t="shared" si="73"/>
        <v>0.93320714922727499</v>
      </c>
      <c r="AM103">
        <f t="shared" si="73"/>
        <v>0.93061808251247446</v>
      </c>
    </row>
    <row r="104" spans="1:39" x14ac:dyDescent="0.2">
      <c r="A104" s="2" t="s">
        <v>30</v>
      </c>
      <c r="B104" s="2" t="s">
        <v>37</v>
      </c>
      <c r="C104" s="23">
        <v>0.3</v>
      </c>
      <c r="D104" s="23">
        <v>0.4</v>
      </c>
      <c r="E104" s="21">
        <f t="shared" ref="E104:N105" si="86">E26*E$80/E$2</f>
        <v>0.37003406060273902</v>
      </c>
      <c r="F104" s="21">
        <f t="shared" si="86"/>
        <v>0.44518637944563366</v>
      </c>
      <c r="G104" s="21">
        <f t="shared" si="86"/>
        <v>0.42869451735577768</v>
      </c>
      <c r="H104" s="21">
        <f t="shared" si="86"/>
        <v>0.41303181780267229</v>
      </c>
      <c r="I104" s="21">
        <f t="shared" si="86"/>
        <v>0.47779838365340227</v>
      </c>
      <c r="J104" s="21">
        <f t="shared" si="86"/>
        <v>0.46288430362758037</v>
      </c>
      <c r="K104" s="21">
        <f t="shared" si="86"/>
        <v>0.52312976604203787</v>
      </c>
      <c r="L104" s="21">
        <f t="shared" si="86"/>
        <v>0.50671191124998194</v>
      </c>
      <c r="M104" s="21">
        <f t="shared" si="86"/>
        <v>0.5608739711918922</v>
      </c>
      <c r="N104" s="21">
        <f t="shared" si="86"/>
        <v>0.54317162474070813</v>
      </c>
      <c r="O104">
        <f t="shared" si="63"/>
        <v>0.56315738375014446</v>
      </c>
      <c r="P104">
        <f t="shared" si="63"/>
        <v>0.58386404539643622</v>
      </c>
      <c r="Q104">
        <f t="shared" si="63"/>
        <v>0.60531694933674407</v>
      </c>
      <c r="R104">
        <f t="shared" si="63"/>
        <v>0.62754229474300816</v>
      </c>
      <c r="S104">
        <f t="shared" si="63"/>
        <v>0.65056716795113467</v>
      </c>
      <c r="T104">
        <f t="shared" si="63"/>
        <v>0.67117716914086545</v>
      </c>
      <c r="U104">
        <f t="shared" si="63"/>
        <v>0.69242222119054664</v>
      </c>
      <c r="V104">
        <f t="shared" si="63"/>
        <v>0.71432115575342681</v>
      </c>
      <c r="W104">
        <f t="shared" si="63"/>
        <v>0.73689333164823623</v>
      </c>
      <c r="X104">
        <f t="shared" si="63"/>
        <v>0.76015864823304302</v>
      </c>
      <c r="Y104">
        <f t="shared" si="63"/>
        <v>0.77816267501167724</v>
      </c>
      <c r="Z104">
        <f t="shared" si="63"/>
        <v>0.79270652608551284</v>
      </c>
      <c r="AA104">
        <f t="shared" si="63"/>
        <v>0.80432292881655443</v>
      </c>
      <c r="AB104">
        <f t="shared" si="63"/>
        <v>0.81346264631156262</v>
      </c>
      <c r="AC104">
        <f t="shared" si="63"/>
        <v>0.82050708033298325</v>
      </c>
      <c r="AD104">
        <f t="shared" si="63"/>
        <v>0.82577893753233877</v>
      </c>
      <c r="AE104">
        <f t="shared" si="73"/>
        <v>0.82955125644385086</v>
      </c>
      <c r="AF104">
        <f t="shared" si="73"/>
        <v>0.83205504701997124</v>
      </c>
      <c r="AG104">
        <f t="shared" si="73"/>
        <v>0.83348575583889239</v>
      </c>
      <c r="AH104">
        <f t="shared" si="73"/>
        <v>0.83400873739289494</v>
      </c>
      <c r="AI104">
        <f t="shared" si="73"/>
        <v>0.83376388416611313</v>
      </c>
      <c r="AJ104">
        <f t="shared" si="73"/>
        <v>0.83286954476090136</v>
      </c>
      <c r="AK104">
        <f t="shared" si="73"/>
        <v>0.83142583948147508</v>
      </c>
      <c r="AL104">
        <f t="shared" si="73"/>
        <v>0.82951746597979981</v>
      </c>
      <c r="AM104">
        <f t="shared" si="73"/>
        <v>0.8272160733444216</v>
      </c>
    </row>
    <row r="105" spans="1:39" s="12" customFormat="1" x14ac:dyDescent="0.2">
      <c r="A105" s="11" t="s">
        <v>33</v>
      </c>
      <c r="B105" s="2" t="s">
        <v>37</v>
      </c>
      <c r="C105" s="20">
        <v>9.9999999999999992E-2</v>
      </c>
      <c r="D105" s="20">
        <v>0.10454545454545454</v>
      </c>
      <c r="E105" s="21">
        <f t="shared" si="86"/>
        <v>0.11773811019178058</v>
      </c>
      <c r="F105" s="21">
        <f t="shared" si="86"/>
        <v>0.12546161602558767</v>
      </c>
      <c r="G105" s="21">
        <f t="shared" si="86"/>
        <v>0.13250557809178581</v>
      </c>
      <c r="H105" s="21">
        <f t="shared" si="86"/>
        <v>0.13892888416998975</v>
      </c>
      <c r="I105" s="21">
        <f t="shared" si="86"/>
        <v>0.14478738898587945</v>
      </c>
      <c r="J105" s="21">
        <f t="shared" si="86"/>
        <v>0.15078806860595417</v>
      </c>
      <c r="K105" s="21">
        <f t="shared" si="86"/>
        <v>0.15625954050606328</v>
      </c>
      <c r="L105" s="21">
        <f t="shared" si="86"/>
        <v>0.16122651721590334</v>
      </c>
      <c r="M105" s="21">
        <f t="shared" si="86"/>
        <v>0.16571276421578629</v>
      </c>
      <c r="N105" s="21">
        <f t="shared" si="86"/>
        <v>0.16974113273147132</v>
      </c>
      <c r="O105">
        <f t="shared" si="63"/>
        <v>0.17598668242192017</v>
      </c>
      <c r="P105">
        <f t="shared" si="63"/>
        <v>0.18245751418638631</v>
      </c>
      <c r="Q105">
        <f t="shared" si="63"/>
        <v>0.18916154666773255</v>
      </c>
      <c r="R105">
        <f t="shared" si="63"/>
        <v>0.19610696710719008</v>
      </c>
      <c r="S105">
        <f t="shared" si="63"/>
        <v>0.20330223998472963</v>
      </c>
      <c r="T105">
        <f t="shared" si="63"/>
        <v>0.20974286535652051</v>
      </c>
      <c r="U105">
        <f t="shared" si="63"/>
        <v>0.21638194412204584</v>
      </c>
      <c r="V105">
        <f t="shared" si="63"/>
        <v>0.22322536117294592</v>
      </c>
      <c r="W105">
        <f t="shared" si="63"/>
        <v>0.23027916614007388</v>
      </c>
      <c r="X105">
        <f t="shared" si="63"/>
        <v>0.23754957757282599</v>
      </c>
      <c r="Y105">
        <f t="shared" si="63"/>
        <v>0.24317583594114914</v>
      </c>
      <c r="Z105">
        <f t="shared" si="63"/>
        <v>0.24772078940172282</v>
      </c>
      <c r="AA105">
        <f t="shared" si="63"/>
        <v>0.25135091525517333</v>
      </c>
      <c r="AB105">
        <f t="shared" si="63"/>
        <v>0.25420707697236339</v>
      </c>
      <c r="AC105">
        <f t="shared" si="63"/>
        <v>0.25640846260405731</v>
      </c>
      <c r="AD105">
        <f t="shared" si="63"/>
        <v>0.25805591797885591</v>
      </c>
      <c r="AE105">
        <f t="shared" si="73"/>
        <v>0.25923476763870346</v>
      </c>
      <c r="AF105">
        <f t="shared" si="73"/>
        <v>0.26001720219374108</v>
      </c>
      <c r="AG105">
        <f t="shared" si="73"/>
        <v>0.26046429869965387</v>
      </c>
      <c r="AH105">
        <f t="shared" si="73"/>
        <v>0.2606277304352797</v>
      </c>
      <c r="AI105">
        <f t="shared" si="73"/>
        <v>0.26055121380191038</v>
      </c>
      <c r="AJ105">
        <f t="shared" si="73"/>
        <v>0.26027173273778176</v>
      </c>
      <c r="AK105">
        <f t="shared" si="73"/>
        <v>0.259820574837961</v>
      </c>
      <c r="AL105">
        <f t="shared" si="73"/>
        <v>0.25922420811868752</v>
      </c>
      <c r="AM105">
        <f t="shared" si="73"/>
        <v>0.25850502292013178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A5ADA-233D-4160-B4F9-F5D1BEE1A8BF}">
  <dimension ref="A1:AM37"/>
  <sheetViews>
    <sheetView topLeftCell="A21" workbookViewId="0">
      <selection activeCell="C34" sqref="C34"/>
    </sheetView>
  </sheetViews>
  <sheetFormatPr baseColWidth="10" defaultColWidth="8.83203125" defaultRowHeight="15" x14ac:dyDescent="0.2"/>
  <cols>
    <col min="2" max="2" width="15.33203125" bestFit="1" customWidth="1"/>
  </cols>
  <sheetData>
    <row r="1" spans="1:39" ht="16" thickBot="1" x14ac:dyDescent="0.25">
      <c r="C1" s="13">
        <v>2024</v>
      </c>
      <c r="D1" s="14">
        <v>2025</v>
      </c>
      <c r="E1" s="15">
        <v>2026</v>
      </c>
      <c r="F1" s="15">
        <v>2027</v>
      </c>
      <c r="G1" s="15">
        <v>2028</v>
      </c>
      <c r="H1" s="15">
        <v>2029</v>
      </c>
      <c r="I1" s="16">
        <v>2030</v>
      </c>
      <c r="J1" s="15">
        <v>2031</v>
      </c>
      <c r="K1" s="15">
        <v>2032</v>
      </c>
      <c r="L1" s="15">
        <v>2033</v>
      </c>
      <c r="M1" s="15">
        <v>2034</v>
      </c>
      <c r="N1" s="16">
        <v>2035</v>
      </c>
      <c r="O1" s="15">
        <v>2036</v>
      </c>
      <c r="P1" s="15">
        <v>2037</v>
      </c>
      <c r="Q1" s="15">
        <v>2038</v>
      </c>
      <c r="R1" s="15">
        <v>2039</v>
      </c>
      <c r="S1" s="16">
        <v>2040</v>
      </c>
      <c r="T1" s="15">
        <v>2041</v>
      </c>
      <c r="U1" s="15">
        <v>2042</v>
      </c>
      <c r="V1" s="15">
        <v>2043</v>
      </c>
      <c r="W1" s="15">
        <v>2044</v>
      </c>
      <c r="X1" s="16">
        <v>2045</v>
      </c>
      <c r="Y1" s="15">
        <v>2046</v>
      </c>
      <c r="Z1" s="15">
        <v>2047</v>
      </c>
      <c r="AA1" s="15">
        <v>2048</v>
      </c>
      <c r="AB1" s="15">
        <v>2049</v>
      </c>
      <c r="AC1" s="16">
        <v>2050</v>
      </c>
      <c r="AD1" s="15">
        <v>2051</v>
      </c>
      <c r="AE1" s="15">
        <v>2052</v>
      </c>
      <c r="AF1" s="15">
        <v>2053</v>
      </c>
      <c r="AG1" s="15">
        <v>2054</v>
      </c>
      <c r="AH1" s="16">
        <v>2055</v>
      </c>
      <c r="AI1" s="15">
        <v>2056</v>
      </c>
      <c r="AJ1" s="15">
        <v>2057</v>
      </c>
      <c r="AK1" s="15">
        <v>2058</v>
      </c>
      <c r="AL1" s="15">
        <v>2059</v>
      </c>
      <c r="AM1" s="16">
        <v>2060</v>
      </c>
    </row>
    <row r="2" spans="1:39" x14ac:dyDescent="0.2">
      <c r="A2" t="s">
        <v>4</v>
      </c>
      <c r="B2" t="s">
        <v>34</v>
      </c>
      <c r="C2">
        <v>20.028513599999997</v>
      </c>
      <c r="D2">
        <v>21.630553099714284</v>
      </c>
      <c r="E2">
        <v>23.346581035075808</v>
      </c>
      <c r="F2">
        <v>25.182703412580683</v>
      </c>
      <c r="G2">
        <v>27.145034191007397</v>
      </c>
      <c r="H2">
        <v>29.239627803491427</v>
      </c>
      <c r="I2">
        <v>31.472397231314616</v>
      </c>
      <c r="J2">
        <v>33.489886179358201</v>
      </c>
      <c r="K2">
        <v>35.63578018835959</v>
      </c>
      <c r="L2">
        <v>37.918183968521419</v>
      </c>
      <c r="M2">
        <v>40.345708769606695</v>
      </c>
      <c r="N2">
        <v>42.927503664517445</v>
      </c>
      <c r="O2">
        <v>45.823777332121502</v>
      </c>
      <c r="P2">
        <v>48.915200816142622</v>
      </c>
      <c r="Q2">
        <v>52.214905733314801</v>
      </c>
      <c r="R2">
        <v>55.736906138623077</v>
      </c>
      <c r="S2">
        <v>59.496157743979438</v>
      </c>
      <c r="T2">
        <v>61.872567634339923</v>
      </c>
      <c r="U2">
        <v>64.343556094379394</v>
      </c>
      <c r="V2">
        <v>66.912873539081218</v>
      </c>
      <c r="W2">
        <v>69.584418546325267</v>
      </c>
      <c r="X2">
        <v>72.362243687472159</v>
      </c>
      <c r="Y2">
        <v>74.464459638700518</v>
      </c>
      <c r="Z2">
        <v>76.115432060062389</v>
      </c>
      <c r="AA2">
        <v>77.40600339901772</v>
      </c>
      <c r="AB2">
        <v>78.40872886523718</v>
      </c>
      <c r="AC2">
        <v>79.181557627819402</v>
      </c>
      <c r="AD2">
        <v>79.770773023132989</v>
      </c>
      <c r="AE2">
        <v>80.213340921144606</v>
      </c>
      <c r="AF2">
        <v>80.538785378525006</v>
      </c>
      <c r="AG2">
        <v>80.770686729168716</v>
      </c>
      <c r="AH2">
        <v>80.927878111037685</v>
      </c>
      <c r="AI2">
        <v>81.025401131178569</v>
      </c>
      <c r="AJ2">
        <v>81.075269152570357</v>
      </c>
      <c r="AK2">
        <v>81.087076927469539</v>
      </c>
      <c r="AL2">
        <v>81.068487507179995</v>
      </c>
      <c r="AM2">
        <v>81.025621132343744</v>
      </c>
    </row>
    <row r="3" spans="1:39" x14ac:dyDescent="0.2">
      <c r="B3" t="s">
        <v>35</v>
      </c>
      <c r="C3">
        <v>20.028513599999997</v>
      </c>
      <c r="D3">
        <v>21.049012928571429</v>
      </c>
      <c r="E3">
        <v>22.108104577928568</v>
      </c>
      <c r="F3">
        <v>23.205700423253568</v>
      </c>
      <c r="G3">
        <v>24.34147178938553</v>
      </c>
      <c r="H3">
        <v>25.514813095234981</v>
      </c>
      <c r="I3">
        <v>26.724801340300925</v>
      </c>
      <c r="J3">
        <v>28.104955948518043</v>
      </c>
      <c r="K3">
        <v>29.555620721582496</v>
      </c>
      <c r="L3">
        <v>31.080351272447519</v>
      </c>
      <c r="M3">
        <v>32.682879633680592</v>
      </c>
      <c r="N3">
        <v>34.367122830640874</v>
      </c>
      <c r="O3">
        <v>36.256260037250364</v>
      </c>
      <c r="P3">
        <v>38.249039508337866</v>
      </c>
      <c r="Q3">
        <v>40.351136127453202</v>
      </c>
      <c r="R3">
        <v>42.568534885584562</v>
      </c>
      <c r="S3">
        <v>44.907547792799321</v>
      </c>
      <c r="T3">
        <v>46.701255903932662</v>
      </c>
      <c r="U3">
        <v>48.566351677716604</v>
      </c>
      <c r="V3">
        <v>50.505665917794488</v>
      </c>
      <c r="W3">
        <v>52.522141260785304</v>
      </c>
      <c r="X3">
        <v>54.61883657719364</v>
      </c>
      <c r="Y3">
        <v>56.310444967723853</v>
      </c>
      <c r="Z3">
        <v>57.729151741779084</v>
      </c>
      <c r="AA3">
        <v>58.916271585190508</v>
      </c>
      <c r="AB3">
        <v>59.906865064410546</v>
      </c>
      <c r="AC3">
        <v>60.730685281895425</v>
      </c>
      <c r="AD3">
        <v>61.412981252558808</v>
      </c>
      <c r="AE3">
        <v>61.975179685229293</v>
      </c>
      <c r="AF3">
        <v>62.435463571640383</v>
      </c>
      <c r="AG3">
        <v>62.809263200610367</v>
      </c>
      <c r="AH3">
        <v>63.109672851602895</v>
      </c>
      <c r="AI3">
        <v>63.347804416034926</v>
      </c>
      <c r="AJ3">
        <v>63.533087492402863</v>
      </c>
      <c r="AK3">
        <v>63.673524056601764</v>
      </c>
      <c r="AL3">
        <v>63.775904582739606</v>
      </c>
      <c r="AM3">
        <v>63.845991449215809</v>
      </c>
    </row>
    <row r="4" spans="1:39" x14ac:dyDescent="0.2">
      <c r="B4" t="s">
        <v>36</v>
      </c>
      <c r="C4">
        <v>20.028513599999997</v>
      </c>
      <c r="D4">
        <v>21.762956057142855</v>
      </c>
      <c r="E4">
        <v>23.639350163297141</v>
      </c>
      <c r="F4">
        <v>25.668229511687656</v>
      </c>
      <c r="G4">
        <v>27.860758560563404</v>
      </c>
      <c r="H4">
        <v>30.228747283862013</v>
      </c>
      <c r="I4">
        <v>32.784661764923577</v>
      </c>
      <c r="J4">
        <v>35.02927316666014</v>
      </c>
      <c r="K4">
        <v>37.425214794509621</v>
      </c>
      <c r="L4">
        <v>39.982489161125187</v>
      </c>
      <c r="M4">
        <v>42.711742592376446</v>
      </c>
      <c r="N4">
        <v>45.624305135361212</v>
      </c>
      <c r="O4">
        <v>48.928733739896458</v>
      </c>
      <c r="P4">
        <v>52.471509601465954</v>
      </c>
      <c r="Q4">
        <v>56.269746373929827</v>
      </c>
      <c r="R4">
        <v>60.341780229121881</v>
      </c>
      <c r="S4">
        <v>64.707256683233723</v>
      </c>
      <c r="T4">
        <v>67.450835915042774</v>
      </c>
      <c r="U4">
        <v>70.309382151444012</v>
      </c>
      <c r="V4">
        <v>73.287645142989405</v>
      </c>
      <c r="W4">
        <v>76.390567440660021</v>
      </c>
      <c r="X4">
        <v>79.623292045557704</v>
      </c>
      <c r="Y4">
        <v>82.125536542172014</v>
      </c>
      <c r="Z4">
        <v>84.124299914334571</v>
      </c>
      <c r="AA4">
        <v>85.706847085247873</v>
      </c>
      <c r="AB4">
        <v>86.945323508722183</v>
      </c>
      <c r="AC4">
        <v>87.89937383248845</v>
      </c>
      <c r="AD4">
        <v>88.618307168650034</v>
      </c>
      <c r="AE4">
        <v>89.142887445476731</v>
      </c>
      <c r="AF4">
        <v>89.506813736568375</v>
      </c>
      <c r="AG4">
        <v>89.73794423391567</v>
      </c>
      <c r="AH4">
        <v>89.859308244420163</v>
      </c>
      <c r="AI4">
        <v>89.889942909076126</v>
      </c>
      <c r="AJ4">
        <v>89.845584992409513</v>
      </c>
      <c r="AK4">
        <v>89.739242837102523</v>
      </c>
      <c r="AL4">
        <v>89.58166923492557</v>
      </c>
      <c r="AM4">
        <v>89.381752372943893</v>
      </c>
    </row>
    <row r="5" spans="1:39" x14ac:dyDescent="0.2">
      <c r="B5" t="s">
        <v>37</v>
      </c>
      <c r="C5">
        <v>20.028513599999997</v>
      </c>
      <c r="D5">
        <v>20.799962999999998</v>
      </c>
      <c r="E5">
        <v>21.597575453999998</v>
      </c>
      <c r="F5">
        <v>22.421993113799996</v>
      </c>
      <c r="G5">
        <v>23.273854662239998</v>
      </c>
      <c r="H5">
        <v>24.153793247099244</v>
      </c>
      <c r="I5">
        <v>25.062434211366561</v>
      </c>
      <c r="J5">
        <v>25.836571071165249</v>
      </c>
      <c r="K5">
        <v>26.631624789517204</v>
      </c>
      <c r="L5">
        <v>27.447993528311308</v>
      </c>
      <c r="M5">
        <v>28.286072372701071</v>
      </c>
      <c r="N5">
        <v>29.146252389398306</v>
      </c>
      <c r="O5">
        <v>30.218675818292983</v>
      </c>
      <c r="P5">
        <v>31.329782435419368</v>
      </c>
      <c r="Q5">
        <v>32.480931951059503</v>
      </c>
      <c r="R5">
        <v>33.673530196525213</v>
      </c>
      <c r="S5">
        <v>34.909030607796339</v>
      </c>
      <c r="T5">
        <v>36.014950484793687</v>
      </c>
      <c r="U5">
        <v>37.154946796938127</v>
      </c>
      <c r="V5">
        <v>38.330030039059466</v>
      </c>
      <c r="W5">
        <v>39.541238993360167</v>
      </c>
      <c r="X5">
        <v>40.789641447048233</v>
      </c>
      <c r="Y5">
        <v>41.755726353943089</v>
      </c>
      <c r="Z5">
        <v>42.536140379278436</v>
      </c>
      <c r="AA5">
        <v>43.159469342785059</v>
      </c>
      <c r="AB5">
        <v>43.649900913109583</v>
      </c>
      <c r="AC5">
        <v>44.027900872195815</v>
      </c>
      <c r="AD5">
        <v>44.310785458750999</v>
      </c>
      <c r="AE5">
        <v>44.513205751123081</v>
      </c>
      <c r="AF5">
        <v>44.647557600037572</v>
      </c>
      <c r="AG5">
        <v>44.724328547621433</v>
      </c>
      <c r="AH5">
        <v>44.752391413341336</v>
      </c>
      <c r="AI5">
        <v>44.739252741103904</v>
      </c>
      <c r="AJ5">
        <v>44.691263043485719</v>
      </c>
      <c r="AK5">
        <v>44.6137947138944</v>
      </c>
      <c r="AL5">
        <v>44.51139257578636</v>
      </c>
      <c r="AM5">
        <v>44.387901274800491</v>
      </c>
    </row>
    <row r="26" spans="2:14" x14ac:dyDescent="0.2">
      <c r="B26" t="s">
        <v>46</v>
      </c>
      <c r="C26" s="3">
        <v>20.6</v>
      </c>
      <c r="D26" s="3">
        <v>22.4</v>
      </c>
      <c r="E26" s="3">
        <v>24.3</v>
      </c>
      <c r="F26" s="3">
        <v>26.3</v>
      </c>
      <c r="G26" s="3">
        <v>28.3</v>
      </c>
      <c r="H26" s="3">
        <v>30.5</v>
      </c>
      <c r="I26" s="3">
        <v>32.700000000000003</v>
      </c>
      <c r="J26" s="3">
        <v>34.9</v>
      </c>
      <c r="K26" s="3">
        <v>37.200000000000003</v>
      </c>
      <c r="L26" s="3">
        <v>39.5</v>
      </c>
      <c r="M26" s="3">
        <v>41.7</v>
      </c>
      <c r="N26" s="3">
        <v>43.9</v>
      </c>
    </row>
    <row r="27" spans="2:14" x14ac:dyDescent="0.2">
      <c r="B27" t="s">
        <v>38</v>
      </c>
      <c r="C27">
        <f>C2/C26</f>
        <v>0.97225794174757263</v>
      </c>
      <c r="D27">
        <f t="shared" ref="D27:N27" si="0">D2/D26</f>
        <v>0.96564969195153061</v>
      </c>
      <c r="E27">
        <f t="shared" si="0"/>
        <v>0.96076465164921021</v>
      </c>
      <c r="F27">
        <f t="shared" si="0"/>
        <v>0.95751724002207916</v>
      </c>
      <c r="G27">
        <f t="shared" si="0"/>
        <v>0.95918848731474904</v>
      </c>
      <c r="H27">
        <f t="shared" si="0"/>
        <v>0.95867632142594839</v>
      </c>
      <c r="I27">
        <f t="shared" si="0"/>
        <v>0.96245863092705242</v>
      </c>
      <c r="J27">
        <f t="shared" si="0"/>
        <v>0.95959559253175364</v>
      </c>
      <c r="K27">
        <f t="shared" si="0"/>
        <v>0.95795108033224696</v>
      </c>
      <c r="L27">
        <f t="shared" si="0"/>
        <v>0.9599540245195296</v>
      </c>
      <c r="M27">
        <f t="shared" si="0"/>
        <v>0.96752299207689907</v>
      </c>
      <c r="N27">
        <f t="shared" si="0"/>
        <v>0.97784746388422428</v>
      </c>
    </row>
    <row r="28" spans="2:14" x14ac:dyDescent="0.2">
      <c r="B28" t="s">
        <v>39</v>
      </c>
      <c r="C28">
        <f>AVERAGE(C27:N27)</f>
        <v>0.96328200986523305</v>
      </c>
    </row>
    <row r="30" spans="2:14" x14ac:dyDescent="0.2">
      <c r="B30" t="s">
        <v>40</v>
      </c>
      <c r="C30">
        <f>C3/C26</f>
        <v>0.97225794174757263</v>
      </c>
      <c r="D30">
        <f t="shared" ref="D30:N30" si="1">D3/D26</f>
        <v>0.93968807716836744</v>
      </c>
      <c r="E30">
        <f t="shared" si="1"/>
        <v>0.90979854230158719</v>
      </c>
      <c r="F30">
        <f t="shared" si="1"/>
        <v>0.88234602369785431</v>
      </c>
      <c r="G30">
        <f t="shared" si="1"/>
        <v>0.86012267807016007</v>
      </c>
      <c r="H30">
        <f t="shared" si="1"/>
        <v>0.83655124902409772</v>
      </c>
      <c r="I30">
        <f t="shared" si="1"/>
        <v>0.81727221224161839</v>
      </c>
      <c r="J30">
        <f t="shared" si="1"/>
        <v>0.80529959737874057</v>
      </c>
      <c r="K30">
        <f t="shared" si="1"/>
        <v>0.7945059333758735</v>
      </c>
      <c r="L30">
        <f t="shared" si="1"/>
        <v>0.78684433601132964</v>
      </c>
      <c r="M30">
        <f t="shared" si="1"/>
        <v>0.78376210152711245</v>
      </c>
      <c r="N30">
        <f t="shared" si="1"/>
        <v>0.78285017837450743</v>
      </c>
    </row>
    <row r="31" spans="2:14" x14ac:dyDescent="0.2">
      <c r="B31" t="s">
        <v>41</v>
      </c>
      <c r="C31">
        <f>AVERAGE(C30:N30)</f>
        <v>0.84760823924323514</v>
      </c>
    </row>
    <row r="33" spans="2:14" x14ac:dyDescent="0.2">
      <c r="B33" t="s">
        <v>42</v>
      </c>
      <c r="C33">
        <f>C4/C26</f>
        <v>0.97225794174757263</v>
      </c>
      <c r="D33">
        <f t="shared" ref="D33:N33" si="2">D4/D26</f>
        <v>0.97156053826530608</v>
      </c>
      <c r="E33">
        <f t="shared" si="2"/>
        <v>0.97281276392169302</v>
      </c>
      <c r="F33">
        <f t="shared" si="2"/>
        <v>0.97597830842918842</v>
      </c>
      <c r="G33">
        <f t="shared" si="2"/>
        <v>0.98447910107997894</v>
      </c>
      <c r="H33">
        <f t="shared" si="2"/>
        <v>0.9911064683233447</v>
      </c>
      <c r="I33">
        <f t="shared" si="2"/>
        <v>1.0025890447988861</v>
      </c>
      <c r="J33">
        <f t="shared" si="2"/>
        <v>1.0037041021965656</v>
      </c>
      <c r="K33">
        <f t="shared" si="2"/>
        <v>1.0060541611427316</v>
      </c>
      <c r="L33">
        <f t="shared" si="2"/>
        <v>1.0122149154715236</v>
      </c>
      <c r="M33">
        <f t="shared" si="2"/>
        <v>1.0242624122872048</v>
      </c>
      <c r="N33">
        <f t="shared" si="2"/>
        <v>1.0392780213066335</v>
      </c>
    </row>
    <row r="34" spans="2:14" x14ac:dyDescent="0.2">
      <c r="B34" t="s">
        <v>43</v>
      </c>
      <c r="C34">
        <f>AVERAGE(C33:N33)</f>
        <v>0.99635814824755242</v>
      </c>
    </row>
    <row r="36" spans="2:14" x14ac:dyDescent="0.2">
      <c r="B36" t="s">
        <v>44</v>
      </c>
      <c r="C36" s="17">
        <f>C5/C26</f>
        <v>0.97225794174757263</v>
      </c>
      <c r="D36" s="17">
        <f t="shared" ref="D36:N36" si="3">D5/D26</f>
        <v>0.92856977678571428</v>
      </c>
      <c r="E36" s="17">
        <f t="shared" si="3"/>
        <v>0.88878911333333321</v>
      </c>
      <c r="F36" s="17">
        <f t="shared" si="3"/>
        <v>0.8525472666844105</v>
      </c>
      <c r="G36" s="17">
        <f t="shared" si="3"/>
        <v>0.82239769124522955</v>
      </c>
      <c r="H36" s="17">
        <f t="shared" si="3"/>
        <v>0.79192764744587685</v>
      </c>
      <c r="I36" s="17">
        <f t="shared" si="3"/>
        <v>0.76643529698368684</v>
      </c>
      <c r="J36" s="17">
        <f t="shared" si="3"/>
        <v>0.74030289602192689</v>
      </c>
      <c r="K36" s="17">
        <f t="shared" si="3"/>
        <v>0.71590389219132267</v>
      </c>
      <c r="L36" s="17">
        <f t="shared" si="3"/>
        <v>0.69488591210914707</v>
      </c>
      <c r="M36" s="17">
        <f t="shared" si="3"/>
        <v>0.67832307848203999</v>
      </c>
      <c r="N36" s="17">
        <f t="shared" si="3"/>
        <v>0.66392374463321879</v>
      </c>
    </row>
    <row r="37" spans="2:14" x14ac:dyDescent="0.2">
      <c r="B37" t="s">
        <v>45</v>
      </c>
      <c r="C37" s="17">
        <f>AVERAGE(C36:N36)</f>
        <v>0.79302202147195666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Documentation</vt:lpstr>
      <vt:lpstr>ICIS</vt:lpstr>
      <vt:lpstr>Historical_2010_2024</vt:lpstr>
      <vt:lpstr>ds_model_results</vt:lpstr>
      <vt:lpstr>input_EnBW Model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TU-Pseudonym 17281442811011116638102512442</cp:lastModifiedBy>
  <cp:revision>0</cp:revision>
  <dcterms:created xsi:type="dcterms:W3CDTF">2026-05-07T09:12:09Z</dcterms:created>
  <dcterms:modified xsi:type="dcterms:W3CDTF">2026-05-27T12:26:38Z</dcterms:modified>
  <dc:language>en-US</dc:language>
</cp:coreProperties>
</file>
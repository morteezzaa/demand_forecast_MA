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https://ittuberlin-my.sharepoint.com/personal/17281442811011116638102512442_msopseudo_tu-berlin_de/Documents/Dokumente/2. WiIng/4. Masterarbeit SS26/Code/Heat Pump/"/>
    </mc:Choice>
  </mc:AlternateContent>
  <xr:revisionPtr revIDLastSave="92" documentId="11_BDF2BD94285B0A3D2DB30ECED88B6969DDF61A51" xr6:coauthVersionLast="47" xr6:coauthVersionMax="47" xr10:uidLastSave="{A3686D38-F2D5-F94D-8DEA-078FE5B2B887}"/>
  <bookViews>
    <workbookView xWindow="0" yWindow="660" windowWidth="30240" windowHeight="17300" activeTab="3" xr2:uid="{00000000-000D-0000-FFFF-FFFF00000000}"/>
  </bookViews>
  <sheets>
    <sheet name="06517" sheetId="2" r:id="rId1"/>
    <sheet name="Number_of_dwelings" sheetId="3" r:id="rId2"/>
    <sheet name="Floor_area_per_construction_yea" sheetId="4" r:id="rId3"/>
    <sheet name="Norway_floor_data_2020"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H2" i="5"/>
  <c r="G2" i="5"/>
  <c r="F2" i="5"/>
  <c r="E2" i="5"/>
  <c r="D2" i="5"/>
  <c r="C2" i="5"/>
  <c r="B2" i="5"/>
  <c r="O3" i="4"/>
  <c r="O4" i="4"/>
  <c r="O5" i="4"/>
  <c r="O6" i="4"/>
  <c r="O7" i="4"/>
  <c r="O8" i="4"/>
  <c r="O2" i="4"/>
  <c r="B3" i="4"/>
  <c r="C3" i="4"/>
  <c r="D3" i="4"/>
  <c r="E3" i="4"/>
  <c r="F3" i="4"/>
  <c r="G3" i="4"/>
  <c r="H3" i="4"/>
  <c r="I3" i="4"/>
  <c r="J3" i="4"/>
  <c r="K3" i="4"/>
  <c r="L3" i="4"/>
  <c r="M3" i="4"/>
  <c r="N3" i="4"/>
  <c r="B4" i="4"/>
  <c r="C4" i="4"/>
  <c r="D4" i="4"/>
  <c r="E4" i="4"/>
  <c r="F4" i="4"/>
  <c r="G4" i="4"/>
  <c r="H4" i="4"/>
  <c r="I4" i="4"/>
  <c r="J4" i="4"/>
  <c r="K4" i="4"/>
  <c r="L4" i="4"/>
  <c r="M4" i="4"/>
  <c r="N4" i="4"/>
  <c r="B5" i="4"/>
  <c r="C5" i="4"/>
  <c r="D5" i="4"/>
  <c r="E5" i="4"/>
  <c r="F5" i="4"/>
  <c r="G5" i="4"/>
  <c r="H5" i="4"/>
  <c r="I5" i="4"/>
  <c r="J5" i="4"/>
  <c r="K5" i="4"/>
  <c r="L5" i="4"/>
  <c r="M5" i="4"/>
  <c r="N5" i="4"/>
  <c r="B6" i="4"/>
  <c r="C6" i="4"/>
  <c r="D6" i="4"/>
  <c r="E6" i="4"/>
  <c r="F6" i="4"/>
  <c r="G6" i="4"/>
  <c r="H6" i="4"/>
  <c r="I6" i="4"/>
  <c r="J6" i="4"/>
  <c r="K6" i="4"/>
  <c r="L6" i="4"/>
  <c r="M6" i="4"/>
  <c r="N6" i="4"/>
  <c r="B7" i="4"/>
  <c r="C7" i="4"/>
  <c r="D7" i="4"/>
  <c r="E7" i="4"/>
  <c r="F7" i="4"/>
  <c r="G7" i="4"/>
  <c r="H7" i="4"/>
  <c r="I7" i="4"/>
  <c r="J7" i="4"/>
  <c r="K7" i="4"/>
  <c r="L7" i="4"/>
  <c r="M7" i="4"/>
  <c r="N7" i="4"/>
  <c r="B8" i="4"/>
  <c r="C8" i="4"/>
  <c r="D8" i="4"/>
  <c r="E8" i="4"/>
  <c r="F8" i="4"/>
  <c r="G8" i="4"/>
  <c r="H8" i="4"/>
  <c r="I8" i="4"/>
  <c r="J8" i="4"/>
  <c r="K8" i="4"/>
  <c r="L8" i="4"/>
  <c r="M8" i="4"/>
  <c r="N8" i="4"/>
  <c r="N2" i="4"/>
  <c r="L2" i="4"/>
  <c r="M2" i="4"/>
  <c r="C2" i="4"/>
  <c r="D2" i="4"/>
  <c r="E2" i="4"/>
  <c r="F2" i="4"/>
  <c r="G2" i="4"/>
  <c r="H2" i="4"/>
  <c r="I2" i="4"/>
  <c r="J2" i="4"/>
  <c r="K2" i="4"/>
  <c r="B2" i="4"/>
  <c r="C8" i="3"/>
  <c r="D8" i="3"/>
  <c r="E8" i="3"/>
  <c r="F8" i="3"/>
  <c r="G8" i="3"/>
  <c r="H8" i="3"/>
  <c r="I8" i="3"/>
  <c r="J8" i="3"/>
  <c r="K8" i="3"/>
  <c r="L8" i="3"/>
  <c r="M8" i="3"/>
  <c r="N8" i="3"/>
  <c r="B8" i="3"/>
  <c r="C7" i="3"/>
  <c r="D7" i="3"/>
  <c r="E7" i="3"/>
  <c r="F7" i="3"/>
  <c r="G7" i="3"/>
  <c r="H7" i="3"/>
  <c r="I7" i="3"/>
  <c r="J7" i="3"/>
  <c r="K7" i="3"/>
  <c r="L7" i="3"/>
  <c r="M7" i="3"/>
  <c r="N7" i="3"/>
  <c r="B7" i="3"/>
  <c r="C6" i="3"/>
  <c r="D6" i="3"/>
  <c r="E6" i="3"/>
  <c r="F6" i="3"/>
  <c r="G6" i="3"/>
  <c r="H6" i="3"/>
  <c r="I6" i="3"/>
  <c r="J6" i="3"/>
  <c r="K6" i="3"/>
  <c r="L6" i="3"/>
  <c r="M6" i="3"/>
  <c r="N6" i="3"/>
  <c r="B6" i="3"/>
  <c r="C5" i="3"/>
  <c r="D5" i="3"/>
  <c r="E5" i="3"/>
  <c r="F5" i="3"/>
  <c r="G5" i="3"/>
  <c r="H5" i="3"/>
  <c r="I5" i="3"/>
  <c r="J5" i="3"/>
  <c r="K5" i="3"/>
  <c r="L5" i="3"/>
  <c r="M5" i="3"/>
  <c r="N5" i="3"/>
  <c r="B5" i="3"/>
  <c r="C4" i="3"/>
  <c r="D4" i="3"/>
  <c r="E4" i="3"/>
  <c r="F4" i="3"/>
  <c r="G4" i="3"/>
  <c r="H4" i="3"/>
  <c r="I4" i="3"/>
  <c r="J4" i="3"/>
  <c r="K4" i="3"/>
  <c r="L4" i="3"/>
  <c r="M4" i="3"/>
  <c r="N4" i="3"/>
  <c r="B4" i="3"/>
  <c r="C3" i="3"/>
  <c r="D3" i="3"/>
  <c r="E3" i="3"/>
  <c r="F3" i="3"/>
  <c r="G3" i="3"/>
  <c r="H3" i="3"/>
  <c r="I3" i="3"/>
  <c r="J3" i="3"/>
  <c r="K3" i="3"/>
  <c r="L3" i="3"/>
  <c r="M3" i="3"/>
  <c r="N3" i="3"/>
  <c r="B3" i="3"/>
  <c r="N2" i="3"/>
  <c r="C2" i="3"/>
  <c r="D2" i="3"/>
  <c r="E2" i="3"/>
  <c r="F2" i="3"/>
  <c r="G2" i="3"/>
  <c r="H2" i="3"/>
  <c r="I2" i="3"/>
  <c r="J2" i="3"/>
  <c r="K2" i="3"/>
  <c r="L2" i="3"/>
  <c r="M2" i="3"/>
  <c r="B2" i="3"/>
</calcChain>
</file>

<file path=xl/sharedStrings.xml><?xml version="1.0" encoding="utf-8"?>
<sst xmlns="http://schemas.openxmlformats.org/spreadsheetml/2006/main" count="79" uniqueCount="72">
  <si>
    <t>06517: Dwellings, by buildings' year of construction, year and utility floor space</t>
  </si>
  <si>
    <t>Dwellings (occupied and vacant)</t>
  </si>
  <si>
    <t>2026</t>
  </si>
  <si>
    <t>Less than 30 square metres</t>
  </si>
  <si>
    <t>30-39 square metres</t>
  </si>
  <si>
    <t>40-49 square metres</t>
  </si>
  <si>
    <t>50-59 square metres</t>
  </si>
  <si>
    <t>60-79 square metres</t>
  </si>
  <si>
    <t>80-99 square metres</t>
  </si>
  <si>
    <t>100-119 square metres</t>
  </si>
  <si>
    <t>120-139 square metres</t>
  </si>
  <si>
    <t>140-159 square metres</t>
  </si>
  <si>
    <t>160-199 square metres</t>
  </si>
  <si>
    <t>200-249 square metres</t>
  </si>
  <si>
    <t>250-299 square metres</t>
  </si>
  <si>
    <t>300-349 square metres</t>
  </si>
  <si>
    <t>1900 and earlier</t>
  </si>
  <si>
    <t>1901-1920</t>
  </si>
  <si>
    <t>1921-1940</t>
  </si>
  <si>
    <t>1941-1945</t>
  </si>
  <si>
    <t>1946-1960</t>
  </si>
  <si>
    <t>1961-1970</t>
  </si>
  <si>
    <t>1971-1980</t>
  </si>
  <si>
    <t>1981-1990</t>
  </si>
  <si>
    <t>1991-2000</t>
  </si>
  <si>
    <t>2001-2010</t>
  </si>
  <si>
    <t>2011-2020</t>
  </si>
  <si>
    <t>2021 and after</t>
  </si>
  <si>
    <t>Unknown</t>
  </si>
  <si>
    <t>Population: 
New figures for population 2012, 2013, 2014, 2015 and 2016. Model for delineation of the dwelling population has been slightly changed, so that there is a minor break in time series before and after 2012. The dwelling population is delineated using Matrikkelen (register for ground properties, addresses and buildings) and the Population register. Variables used are type of building, building status, type of utility unit and whether people are registered living in the utility unit or building. Holiday homes and utility units registered as other than dwelling are included in the population where the Population register state there are people registered on the dwelling address. The population register is also used to overrule other information, i.e. lack of approval certificate if people are registered living at the address.In addition, dwellings are imputed in buildings without utility units if people are registered on the building address.</t>
  </si>
  <si>
    <t>Year of construction:  
First year of construction of building. From 2023 the prioritizing of the sources has been changed and the method as been improved. Unknown are most likely buildings constructed between 1900 and 1983.</t>
  </si>
  <si>
    <t>Utility floor space:  
Figures at building level are no longer used for imputing at dwelling from 2012. Population and Housing 2001 (P&amp;H2001) is still used as source. However, when ID of utility unit is changed, P&amp;H2001 is no longer used. This may lead to an increase in number of unknown.</t>
  </si>
  <si>
    <t>Contact:</t>
  </si>
  <si>
    <t>Jens Mathiesen, Statistics Norway</t>
  </si>
  <si>
    <t xml:space="preserve"> +47 40 81 13 98</t>
  </si>
  <si>
    <t>jma@ssb.no</t>
  </si>
  <si>
    <t>Magnus Espeland, Statistics Norway</t>
  </si>
  <si>
    <t xml:space="preserve"> +47 45 27 40 08</t>
  </si>
  <si>
    <t>epd@ssb.no</t>
  </si>
  <si>
    <t>Database:</t>
  </si>
  <si>
    <t>External PROD database O_STATMETA_24 as 2.4</t>
  </si>
  <si>
    <t>Internal reference code:</t>
  </si>
  <si>
    <t>06517</t>
  </si>
  <si>
    <t>Source:</t>
  </si>
  <si>
    <t>Statistics Norway</t>
  </si>
  <si>
    <t>Official statistics</t>
  </si>
  <si>
    <t>Latest update:</t>
  </si>
  <si>
    <t>20260303 08:00</t>
  </si>
  <si>
    <t>Units:</t>
  </si>
  <si>
    <t>dwellings</t>
  </si>
  <si>
    <t>Data type:</t>
  </si>
  <si>
    <t>Stock</t>
  </si>
  <si>
    <t>Reference period:</t>
  </si>
  <si>
    <t>01.01.</t>
  </si>
  <si>
    <t>0-1945</t>
  </si>
  <si>
    <t>1946-1969</t>
  </si>
  <si>
    <t>1970-1979</t>
  </si>
  <si>
    <t>1980-1989</t>
  </si>
  <si>
    <t>1990-1999</t>
  </si>
  <si>
    <t>2000-2010</t>
  </si>
  <si>
    <t>2010-2020</t>
  </si>
  <si>
    <t>2021-2026</t>
  </si>
  <si>
    <t>gesamtfläche_m2</t>
  </si>
  <si>
    <t>anteil 0-1945</t>
  </si>
  <si>
    <t>anteil 1946-1969</t>
  </si>
  <si>
    <t>anteil 1970-1979</t>
  </si>
  <si>
    <t>anteil 1980-1989</t>
  </si>
  <si>
    <t>anteil 1990-1999</t>
  </si>
  <si>
    <t>anteil 2000-2010</t>
  </si>
  <si>
    <t>anteil 2011-now</t>
  </si>
  <si>
    <t>Norway</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</si>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</sst>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4"/>
      <color rgb="FF000000"/>
      <name val="Calibri"/>
      <family val="2"/>
    </font>
    <font>
      <b/>
      <sz val="11"/>
      <color rgb="FF000000"/>
      <name val="Calibri"/>
      <family val="2"/>
    </font>
    <font>
      <b/>
      <sz val="12"/>
      <color rgb="FFBBBEBF"/>
      <name val="Arial"/>
      <family val="2"/>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applyBorder="0"/>
  </cellStyleXfs>
  <cellXfs count="6">
    <xf numFmtId="0" fontId="0" fillId="0" borderId="0" xfId="0"/>
    <xf numFmtId="0" fontId="1" fillId="0" borderId="0" xfId="0" applyFont="1"/>
    <xf numFmtId="0" fontId="2" fillId="0" borderId="0" xfId="0" applyFont="1"/>
    <xf numFmtId="1" fontId="0" fillId="0" borderId="0" xfId="0" applyNumberFormat="1"/>
    <xf numFmtId="0" fontId="2" fillId="0" borderId="1" xfId="0" applyFont="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workbookViewId="0">
      <selection activeCell="B12" sqref="B12"/>
    </sheetView>
  </sheetViews>
  <sheetFormatPr baseColWidth="10" defaultColWidth="8.83203125" defaultRowHeight="15" x14ac:dyDescent="0.2"/>
  <cols>
    <col min="1" max="1" width="8.33203125" customWidth="1"/>
  </cols>
  <sheetData>
    <row r="1" spans="1:14" ht="19" x14ac:dyDescent="0.25">
      <c r="A1" s="1" t="s">
        <v>0</v>
      </c>
    </row>
    <row r="3" spans="1:14" x14ac:dyDescent="0.2">
      <c r="B3" s="2" t="s">
        <v>1</v>
      </c>
    </row>
    <row r="4" spans="1:14" x14ac:dyDescent="0.2">
      <c r="B4" s="2" t="s">
        <v>2</v>
      </c>
    </row>
    <row r="5" spans="1:14" x14ac:dyDescent="0.2">
      <c r="B5" s="2" t="s">
        <v>3</v>
      </c>
      <c r="C5" s="2" t="s">
        <v>4</v>
      </c>
      <c r="D5" s="2" t="s">
        <v>5</v>
      </c>
      <c r="E5" s="2" t="s">
        <v>6</v>
      </c>
      <c r="F5" s="2" t="s">
        <v>7</v>
      </c>
      <c r="G5" s="2" t="s">
        <v>8</v>
      </c>
      <c r="H5" s="2" t="s">
        <v>9</v>
      </c>
      <c r="I5" s="2" t="s">
        <v>10</v>
      </c>
      <c r="J5" s="2" t="s">
        <v>11</v>
      </c>
      <c r="K5" s="2" t="s">
        <v>12</v>
      </c>
      <c r="L5" s="2" t="s">
        <v>13</v>
      </c>
      <c r="M5" s="2" t="s">
        <v>14</v>
      </c>
      <c r="N5" s="2" t="s">
        <v>15</v>
      </c>
    </row>
    <row r="6" spans="1:14" x14ac:dyDescent="0.2">
      <c r="A6" s="2" t="s">
        <v>16</v>
      </c>
      <c r="B6" s="3">
        <v>6245</v>
      </c>
      <c r="C6" s="3">
        <v>7398</v>
      </c>
      <c r="D6" s="3">
        <v>10968</v>
      </c>
      <c r="E6" s="3">
        <v>12679</v>
      </c>
      <c r="F6" s="3">
        <v>23708</v>
      </c>
      <c r="G6" s="3">
        <v>19524</v>
      </c>
      <c r="H6" s="3">
        <v>16707</v>
      </c>
      <c r="I6" s="3">
        <v>13765</v>
      </c>
      <c r="J6" s="3">
        <v>11203</v>
      </c>
      <c r="K6" s="3">
        <v>16806</v>
      </c>
      <c r="L6" s="3">
        <v>12306</v>
      </c>
      <c r="M6" s="3">
        <v>5968</v>
      </c>
      <c r="N6" s="3">
        <v>2942</v>
      </c>
    </row>
    <row r="7" spans="1:14" x14ac:dyDescent="0.2">
      <c r="A7" s="2" t="s">
        <v>17</v>
      </c>
      <c r="B7" s="3">
        <v>2648</v>
      </c>
      <c r="C7" s="3">
        <v>2879</v>
      </c>
      <c r="D7" s="3">
        <v>4670</v>
      </c>
      <c r="E7" s="3">
        <v>5872</v>
      </c>
      <c r="F7" s="3">
        <v>10780</v>
      </c>
      <c r="G7" s="3">
        <v>10730</v>
      </c>
      <c r="H7" s="3">
        <v>10014</v>
      </c>
      <c r="I7" s="3">
        <v>8558</v>
      </c>
      <c r="J7" s="3">
        <v>7298</v>
      </c>
      <c r="K7" s="3">
        <v>11376</v>
      </c>
      <c r="L7" s="3">
        <v>7883</v>
      </c>
      <c r="M7" s="3">
        <v>3769</v>
      </c>
      <c r="N7" s="3">
        <v>1721</v>
      </c>
    </row>
    <row r="8" spans="1:14" x14ac:dyDescent="0.2">
      <c r="A8" s="2" t="s">
        <v>18</v>
      </c>
      <c r="B8" s="3">
        <v>4509</v>
      </c>
      <c r="C8" s="3">
        <v>6548</v>
      </c>
      <c r="D8" s="3">
        <v>9166</v>
      </c>
      <c r="E8" s="3">
        <v>14790</v>
      </c>
      <c r="F8" s="3">
        <v>19416</v>
      </c>
      <c r="G8" s="3">
        <v>15488</v>
      </c>
      <c r="H8" s="3">
        <v>14046</v>
      </c>
      <c r="I8" s="3">
        <v>12461</v>
      </c>
      <c r="J8" s="3">
        <v>11457</v>
      </c>
      <c r="K8" s="3">
        <v>18540</v>
      </c>
      <c r="L8" s="3">
        <v>14198</v>
      </c>
      <c r="M8" s="3">
        <v>6250</v>
      </c>
      <c r="N8" s="3">
        <v>2415</v>
      </c>
    </row>
    <row r="9" spans="1:14" x14ac:dyDescent="0.2">
      <c r="A9" s="2" t="s">
        <v>19</v>
      </c>
      <c r="B9" s="3">
        <v>392</v>
      </c>
      <c r="C9" s="3">
        <v>352</v>
      </c>
      <c r="D9" s="3">
        <v>413</v>
      </c>
      <c r="E9" s="3">
        <v>768</v>
      </c>
      <c r="F9" s="3">
        <v>1240</v>
      </c>
      <c r="G9" s="3">
        <v>1175</v>
      </c>
      <c r="H9" s="3">
        <v>1188</v>
      </c>
      <c r="I9" s="3">
        <v>1233</v>
      </c>
      <c r="J9" s="3">
        <v>1130</v>
      </c>
      <c r="K9" s="3">
        <v>1828</v>
      </c>
      <c r="L9" s="3">
        <v>1234</v>
      </c>
      <c r="M9" s="3">
        <v>534</v>
      </c>
      <c r="N9" s="3">
        <v>217</v>
      </c>
    </row>
    <row r="10" spans="1:14" x14ac:dyDescent="0.2">
      <c r="A10" s="2" t="s">
        <v>20</v>
      </c>
      <c r="B10" s="3">
        <v>7470</v>
      </c>
      <c r="C10" s="3">
        <v>7041</v>
      </c>
      <c r="D10" s="3">
        <v>7998</v>
      </c>
      <c r="E10" s="3">
        <v>15878</v>
      </c>
      <c r="F10" s="3">
        <v>62784</v>
      </c>
      <c r="G10" s="3">
        <v>29453</v>
      </c>
      <c r="H10" s="3">
        <v>29774</v>
      </c>
      <c r="I10" s="3">
        <v>33013</v>
      </c>
      <c r="J10" s="3">
        <v>31407</v>
      </c>
      <c r="K10" s="3">
        <v>49740</v>
      </c>
      <c r="L10" s="3">
        <v>32303</v>
      </c>
      <c r="M10" s="3">
        <v>11569</v>
      </c>
      <c r="N10" s="3">
        <v>3884</v>
      </c>
    </row>
    <row r="11" spans="1:14" x14ac:dyDescent="0.2">
      <c r="A11" s="2" t="s">
        <v>21</v>
      </c>
      <c r="B11" s="3">
        <v>9329</v>
      </c>
      <c r="C11" s="3">
        <v>10643</v>
      </c>
      <c r="D11" s="3">
        <v>10709</v>
      </c>
      <c r="E11" s="3">
        <v>11630</v>
      </c>
      <c r="F11" s="3">
        <v>38466</v>
      </c>
      <c r="G11" s="3">
        <v>28018</v>
      </c>
      <c r="H11" s="3">
        <v>25803</v>
      </c>
      <c r="I11" s="3">
        <v>25663</v>
      </c>
      <c r="J11" s="3">
        <v>27300</v>
      </c>
      <c r="K11" s="3">
        <v>51730</v>
      </c>
      <c r="L11" s="3">
        <v>32690</v>
      </c>
      <c r="M11" s="3">
        <v>11547</v>
      </c>
      <c r="N11" s="3">
        <v>3369</v>
      </c>
    </row>
    <row r="12" spans="1:14" x14ac:dyDescent="0.2">
      <c r="A12" s="2" t="s">
        <v>22</v>
      </c>
      <c r="B12" s="3">
        <v>8332</v>
      </c>
      <c r="C12" s="3">
        <v>7631</v>
      </c>
      <c r="D12" s="3">
        <v>15084</v>
      </c>
      <c r="E12" s="3">
        <v>19966</v>
      </c>
      <c r="F12" s="3">
        <v>34154</v>
      </c>
      <c r="G12" s="3">
        <v>40177</v>
      </c>
      <c r="H12" s="3">
        <v>45548</v>
      </c>
      <c r="I12" s="3">
        <v>34311</v>
      </c>
      <c r="J12" s="3">
        <v>28442</v>
      </c>
      <c r="K12" s="3">
        <v>69992</v>
      </c>
      <c r="L12" s="3">
        <v>46537</v>
      </c>
      <c r="M12" s="3">
        <v>16244</v>
      </c>
      <c r="N12" s="3">
        <v>4551</v>
      </c>
    </row>
    <row r="13" spans="1:14" x14ac:dyDescent="0.2">
      <c r="A13" s="2" t="s">
        <v>23</v>
      </c>
      <c r="B13" s="3">
        <v>5585</v>
      </c>
      <c r="C13" s="3">
        <v>3799</v>
      </c>
      <c r="D13" s="3">
        <v>7704</v>
      </c>
      <c r="E13" s="3">
        <v>15680</v>
      </c>
      <c r="F13" s="3">
        <v>33860</v>
      </c>
      <c r="G13" s="3">
        <v>27754</v>
      </c>
      <c r="H13" s="3">
        <v>31788</v>
      </c>
      <c r="I13" s="3">
        <v>24654</v>
      </c>
      <c r="J13" s="3">
        <v>22884</v>
      </c>
      <c r="K13" s="3">
        <v>59506</v>
      </c>
      <c r="L13" s="3">
        <v>49123</v>
      </c>
      <c r="M13" s="3">
        <v>23191</v>
      </c>
      <c r="N13" s="3">
        <v>8548</v>
      </c>
    </row>
    <row r="14" spans="1:14" x14ac:dyDescent="0.2">
      <c r="A14" s="2" t="s">
        <v>24</v>
      </c>
      <c r="B14" s="3">
        <v>7780</v>
      </c>
      <c r="C14" s="3">
        <v>3885</v>
      </c>
      <c r="D14" s="3">
        <v>7598</v>
      </c>
      <c r="E14" s="3">
        <v>17409</v>
      </c>
      <c r="F14" s="3">
        <v>40762</v>
      </c>
      <c r="G14" s="3">
        <v>27066</v>
      </c>
      <c r="H14" s="3">
        <v>20785</v>
      </c>
      <c r="I14" s="3">
        <v>22285</v>
      </c>
      <c r="J14" s="3">
        <v>18691</v>
      </c>
      <c r="K14" s="3">
        <v>22733</v>
      </c>
      <c r="L14" s="3">
        <v>17755</v>
      </c>
      <c r="M14" s="3">
        <v>8394</v>
      </c>
      <c r="N14" s="3">
        <v>3252</v>
      </c>
    </row>
    <row r="15" spans="1:14" x14ac:dyDescent="0.2">
      <c r="A15" s="2" t="s">
        <v>25</v>
      </c>
      <c r="B15" s="3">
        <v>9540</v>
      </c>
      <c r="C15" s="3">
        <v>9076</v>
      </c>
      <c r="D15" s="3">
        <v>17428</v>
      </c>
      <c r="E15" s="3">
        <v>23610</v>
      </c>
      <c r="F15" s="3">
        <v>58308</v>
      </c>
      <c r="G15" s="3">
        <v>39609</v>
      </c>
      <c r="H15" s="3">
        <v>26247</v>
      </c>
      <c r="I15" s="3">
        <v>23422</v>
      </c>
      <c r="J15" s="3">
        <v>19332</v>
      </c>
      <c r="K15" s="3">
        <v>23196</v>
      </c>
      <c r="L15" s="3">
        <v>16769</v>
      </c>
      <c r="M15" s="3">
        <v>8071</v>
      </c>
      <c r="N15" s="3">
        <v>3373</v>
      </c>
    </row>
    <row r="16" spans="1:14" x14ac:dyDescent="0.2">
      <c r="A16" s="2" t="s">
        <v>26</v>
      </c>
      <c r="B16" s="3">
        <v>14686</v>
      </c>
      <c r="C16" s="3">
        <v>7394</v>
      </c>
      <c r="D16" s="3">
        <v>19808</v>
      </c>
      <c r="E16" s="3">
        <v>20630</v>
      </c>
      <c r="F16" s="3">
        <v>56018</v>
      </c>
      <c r="G16" s="3">
        <v>48454</v>
      </c>
      <c r="H16" s="3">
        <v>29952</v>
      </c>
      <c r="I16" s="3">
        <v>23811</v>
      </c>
      <c r="J16" s="3">
        <v>18165</v>
      </c>
      <c r="K16" s="3">
        <v>24336</v>
      </c>
      <c r="L16" s="3">
        <v>17222</v>
      </c>
      <c r="M16" s="3">
        <v>8325</v>
      </c>
      <c r="N16" s="3">
        <v>3687</v>
      </c>
    </row>
    <row r="17" spans="1:14" x14ac:dyDescent="0.2">
      <c r="A17" s="2" t="s">
        <v>27</v>
      </c>
      <c r="B17" s="3">
        <v>7691</v>
      </c>
      <c r="C17" s="3">
        <v>5895</v>
      </c>
      <c r="D17" s="3">
        <v>13135</v>
      </c>
      <c r="E17" s="3">
        <v>10484</v>
      </c>
      <c r="F17" s="3">
        <v>24795</v>
      </c>
      <c r="G17" s="3">
        <v>21327</v>
      </c>
      <c r="H17" s="3">
        <v>11986</v>
      </c>
      <c r="I17" s="3">
        <v>8892</v>
      </c>
      <c r="J17" s="3">
        <v>6718</v>
      </c>
      <c r="K17" s="3">
        <v>8947</v>
      </c>
      <c r="L17" s="3">
        <v>6337</v>
      </c>
      <c r="M17" s="3">
        <v>2998</v>
      </c>
      <c r="N17" s="3">
        <v>1349</v>
      </c>
    </row>
    <row r="18" spans="1:14" x14ac:dyDescent="0.2">
      <c r="A18" s="2" t="s">
        <v>28</v>
      </c>
      <c r="B18" s="3">
        <v>4112</v>
      </c>
      <c r="C18" s="3">
        <v>2868</v>
      </c>
      <c r="D18" s="3">
        <v>4075</v>
      </c>
      <c r="E18" s="3">
        <v>4478</v>
      </c>
      <c r="F18" s="3">
        <v>8032</v>
      </c>
      <c r="G18" s="3">
        <v>7026</v>
      </c>
      <c r="H18" s="3">
        <v>5945</v>
      </c>
      <c r="I18" s="3">
        <v>5077</v>
      </c>
      <c r="J18" s="3">
        <v>3994</v>
      </c>
      <c r="K18" s="3">
        <v>5848</v>
      </c>
      <c r="L18" s="3">
        <v>4078</v>
      </c>
      <c r="M18" s="3">
        <v>1786</v>
      </c>
      <c r="N18" s="3">
        <v>813</v>
      </c>
    </row>
    <row r="20" spans="1:14" x14ac:dyDescent="0.2">
      <c r="A20" t="s">
        <v>29</v>
      </c>
    </row>
    <row r="21" spans="1:14" x14ac:dyDescent="0.2">
      <c r="A21" t="s">
        <v>30</v>
      </c>
    </row>
    <row r="22" spans="1:14" x14ac:dyDescent="0.2">
      <c r="A22" t="s">
        <v>31</v>
      </c>
    </row>
    <row r="23" spans="1:14" x14ac:dyDescent="0.2">
      <c r="A23" t="s">
        <v>32</v>
      </c>
    </row>
    <row r="24" spans="1:14" x14ac:dyDescent="0.2">
      <c r="A24" t="s">
        <v>33</v>
      </c>
    </row>
    <row r="25" spans="1:14" x14ac:dyDescent="0.2">
      <c r="A25" t="s">
        <v>34</v>
      </c>
    </row>
    <row r="26" spans="1:14" x14ac:dyDescent="0.2">
      <c r="A26" t="s">
        <v>35</v>
      </c>
    </row>
    <row r="28" spans="1:14" x14ac:dyDescent="0.2">
      <c r="A28" t="s">
        <v>36</v>
      </c>
    </row>
    <row r="29" spans="1:14" x14ac:dyDescent="0.2">
      <c r="A29" t="s">
        <v>37</v>
      </c>
    </row>
    <row r="30" spans="1:14" x14ac:dyDescent="0.2">
      <c r="A30" t="s">
        <v>38</v>
      </c>
    </row>
    <row r="32" spans="1:14" x14ac:dyDescent="0.2">
      <c r="A32" t="s">
        <v>39</v>
      </c>
      <c r="B32" t="s">
        <v>40</v>
      </c>
    </row>
    <row r="33" spans="1:2" x14ac:dyDescent="0.2">
      <c r="A33" t="s">
        <v>41</v>
      </c>
      <c r="B33" t="s">
        <v>42</v>
      </c>
    </row>
    <row r="34" spans="1:2" x14ac:dyDescent="0.2">
      <c r="A34" t="s">
        <v>43</v>
      </c>
      <c r="B34" t="s">
        <v>44</v>
      </c>
    </row>
    <row r="35" spans="1:2" x14ac:dyDescent="0.2">
      <c r="A35" t="s">
        <v>45</v>
      </c>
    </row>
    <row r="36" spans="1:2" x14ac:dyDescent="0.2">
      <c r="A36" t="s">
        <v>46</v>
      </c>
      <c r="B36" t="s">
        <v>47</v>
      </c>
    </row>
    <row r="37" spans="1:2" x14ac:dyDescent="0.2">
      <c r="A37" t="s">
        <v>48</v>
      </c>
      <c r="B37" t="s">
        <v>49</v>
      </c>
    </row>
    <row r="38" spans="1:2" x14ac:dyDescent="0.2">
      <c r="A38" t="s">
        <v>50</v>
      </c>
      <c r="B38" t="s">
        <v>51</v>
      </c>
    </row>
    <row r="39" spans="1:2" x14ac:dyDescent="0.2">
      <c r="A39" t="s">
        <v>52</v>
      </c>
      <c r="B39" t="s">
        <v>53</v>
      </c>
    </row>
  </sheetData>
  <pageMargins left="0.75" right="0.75" top="0.75" bottom="0.5" header="0.5" footer="0.7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DA4F-C20F-AB42-9C54-09CD8F8B7A60}">
  <dimension ref="A1:N9"/>
  <sheetViews>
    <sheetView workbookViewId="0">
      <selection activeCell="A2" sqref="A2:A8"/>
    </sheetView>
  </sheetViews>
  <sheetFormatPr baseColWidth="10" defaultRowHeight="15" x14ac:dyDescent="0.2"/>
  <cols>
    <col min="2" max="2" width="17.33203125" customWidth="1"/>
    <col min="14" max="14" width="19.1640625" bestFit="1" customWidth="1"/>
  </cols>
  <sheetData>
    <row r="1" spans="1:14" x14ac:dyDescent="0.2">
      <c r="B1" s="2">
        <v>15</v>
      </c>
      <c r="C1" s="2">
        <v>35</v>
      </c>
      <c r="D1" s="2">
        <v>45</v>
      </c>
      <c r="E1" s="2">
        <v>55</v>
      </c>
      <c r="F1" s="2">
        <v>70</v>
      </c>
      <c r="G1" s="2">
        <v>90</v>
      </c>
      <c r="H1" s="2">
        <v>110</v>
      </c>
      <c r="I1" s="2">
        <v>130</v>
      </c>
      <c r="J1" s="2">
        <v>150</v>
      </c>
      <c r="K1" s="2">
        <v>180</v>
      </c>
      <c r="L1" s="2">
        <v>225</v>
      </c>
      <c r="M1" s="2">
        <v>275</v>
      </c>
      <c r="N1" s="2">
        <v>325</v>
      </c>
    </row>
    <row r="2" spans="1:14" x14ac:dyDescent="0.2">
      <c r="A2" t="s">
        <v>54</v>
      </c>
      <c r="B2" s="3">
        <f>SUM('06517'!B6:B9,'06517'!B18)</f>
        <v>17906</v>
      </c>
      <c r="C2" s="3">
        <f>SUM('06517'!C6:C9,'06517'!C18)</f>
        <v>20045</v>
      </c>
      <c r="D2" s="3">
        <f>SUM('06517'!D6:D9,'06517'!D18)</f>
        <v>29292</v>
      </c>
      <c r="E2" s="3">
        <f>SUM('06517'!E6:E9,'06517'!E18)</f>
        <v>38587</v>
      </c>
      <c r="F2" s="3">
        <f>SUM('06517'!F6:F9,'06517'!F18)</f>
        <v>63176</v>
      </c>
      <c r="G2" s="3">
        <f>SUM('06517'!G6:G9,'06517'!G18)</f>
        <v>53943</v>
      </c>
      <c r="H2" s="3">
        <f>SUM('06517'!H6:H9,'06517'!H18)</f>
        <v>47900</v>
      </c>
      <c r="I2" s="3">
        <f>SUM('06517'!I6:I9,'06517'!I18)</f>
        <v>41094</v>
      </c>
      <c r="J2" s="3">
        <f>SUM('06517'!J6:J9,'06517'!J18)</f>
        <v>35082</v>
      </c>
      <c r="K2" s="3">
        <f>SUM('06517'!K6:K9,'06517'!K18)</f>
        <v>54398</v>
      </c>
      <c r="L2" s="3">
        <f>SUM('06517'!L6:L9,'06517'!L18)</f>
        <v>39699</v>
      </c>
      <c r="M2" s="3">
        <f>SUM('06517'!M6:M9,'06517'!M18)</f>
        <v>18307</v>
      </c>
      <c r="N2" s="3">
        <f>SUM('06517'!N6:N9,'06517'!N18)</f>
        <v>8108</v>
      </c>
    </row>
    <row r="3" spans="1:14" x14ac:dyDescent="0.2">
      <c r="A3" t="s">
        <v>55</v>
      </c>
      <c r="B3" s="3">
        <f>SUM('06517'!B10:B11)</f>
        <v>16799</v>
      </c>
      <c r="C3" s="3">
        <f>SUM('06517'!C10:C11)</f>
        <v>17684</v>
      </c>
      <c r="D3" s="3">
        <f>SUM('06517'!D10:D11)</f>
        <v>18707</v>
      </c>
      <c r="E3" s="3">
        <f>SUM('06517'!E10:E11)</f>
        <v>27508</v>
      </c>
      <c r="F3" s="3">
        <f>SUM('06517'!F10:F11)</f>
        <v>101250</v>
      </c>
      <c r="G3" s="3">
        <f>SUM('06517'!G10:G11)</f>
        <v>57471</v>
      </c>
      <c r="H3" s="3">
        <f>SUM('06517'!H10:H11)</f>
        <v>55577</v>
      </c>
      <c r="I3" s="3">
        <f>SUM('06517'!I10:I11)</f>
        <v>58676</v>
      </c>
      <c r="J3" s="3">
        <f>SUM('06517'!J10:J11)</f>
        <v>58707</v>
      </c>
      <c r="K3" s="3">
        <f>SUM('06517'!K10:K11)</f>
        <v>101470</v>
      </c>
      <c r="L3" s="3">
        <f>SUM('06517'!L10:L11)</f>
        <v>64993</v>
      </c>
      <c r="M3" s="3">
        <f>SUM('06517'!M10:M11)</f>
        <v>23116</v>
      </c>
      <c r="N3" s="3">
        <f>SUM('06517'!N10:N11)</f>
        <v>7253</v>
      </c>
    </row>
    <row r="4" spans="1:14" x14ac:dyDescent="0.2">
      <c r="A4" t="s">
        <v>56</v>
      </c>
      <c r="B4" s="3">
        <f>SUM('06517'!B12)</f>
        <v>8332</v>
      </c>
      <c r="C4" s="3">
        <f>SUM('06517'!C12)</f>
        <v>7631</v>
      </c>
      <c r="D4" s="3">
        <f>SUM('06517'!D12)</f>
        <v>15084</v>
      </c>
      <c r="E4" s="3">
        <f>SUM('06517'!E12)</f>
        <v>19966</v>
      </c>
      <c r="F4" s="3">
        <f>SUM('06517'!F12)</f>
        <v>34154</v>
      </c>
      <c r="G4" s="3">
        <f>SUM('06517'!G12)</f>
        <v>40177</v>
      </c>
      <c r="H4" s="3">
        <f>SUM('06517'!H12)</f>
        <v>45548</v>
      </c>
      <c r="I4" s="3">
        <f>SUM('06517'!I12)</f>
        <v>34311</v>
      </c>
      <c r="J4" s="3">
        <f>SUM('06517'!J12)</f>
        <v>28442</v>
      </c>
      <c r="K4" s="3">
        <f>SUM('06517'!K12)</f>
        <v>69992</v>
      </c>
      <c r="L4" s="3">
        <f>SUM('06517'!L12)</f>
        <v>46537</v>
      </c>
      <c r="M4" s="3">
        <f>SUM('06517'!M12)</f>
        <v>16244</v>
      </c>
      <c r="N4" s="3">
        <f>SUM('06517'!N12)</f>
        <v>4551</v>
      </c>
    </row>
    <row r="5" spans="1:14" x14ac:dyDescent="0.2">
      <c r="A5" t="s">
        <v>57</v>
      </c>
      <c r="B5" s="3">
        <f>SUM('06517'!B13)</f>
        <v>5585</v>
      </c>
      <c r="C5" s="3">
        <f>SUM('06517'!C13)</f>
        <v>3799</v>
      </c>
      <c r="D5" s="3">
        <f>SUM('06517'!D13)</f>
        <v>7704</v>
      </c>
      <c r="E5" s="3">
        <f>SUM('06517'!E13)</f>
        <v>15680</v>
      </c>
      <c r="F5" s="3">
        <f>SUM('06517'!F13)</f>
        <v>33860</v>
      </c>
      <c r="G5" s="3">
        <f>SUM('06517'!G13)</f>
        <v>27754</v>
      </c>
      <c r="H5" s="3">
        <f>SUM('06517'!H13)</f>
        <v>31788</v>
      </c>
      <c r="I5" s="3">
        <f>SUM('06517'!I13)</f>
        <v>24654</v>
      </c>
      <c r="J5" s="3">
        <f>SUM('06517'!J13)</f>
        <v>22884</v>
      </c>
      <c r="K5" s="3">
        <f>SUM('06517'!K13)</f>
        <v>59506</v>
      </c>
      <c r="L5" s="3">
        <f>SUM('06517'!L13)</f>
        <v>49123</v>
      </c>
      <c r="M5" s="3">
        <f>SUM('06517'!M13)</f>
        <v>23191</v>
      </c>
      <c r="N5" s="3">
        <f>SUM('06517'!N13)</f>
        <v>8548</v>
      </c>
    </row>
    <row r="6" spans="1:14" x14ac:dyDescent="0.2">
      <c r="A6" t="s">
        <v>58</v>
      </c>
      <c r="B6" s="3">
        <f>SUM('06517'!B14)</f>
        <v>7780</v>
      </c>
      <c r="C6" s="3">
        <f>SUM('06517'!C14)</f>
        <v>3885</v>
      </c>
      <c r="D6" s="3">
        <f>SUM('06517'!D14)</f>
        <v>7598</v>
      </c>
      <c r="E6" s="3">
        <f>SUM('06517'!E14)</f>
        <v>17409</v>
      </c>
      <c r="F6" s="3">
        <f>SUM('06517'!F14)</f>
        <v>40762</v>
      </c>
      <c r="G6" s="3">
        <f>SUM('06517'!G14)</f>
        <v>27066</v>
      </c>
      <c r="H6" s="3">
        <f>SUM('06517'!H14)</f>
        <v>20785</v>
      </c>
      <c r="I6" s="3">
        <f>SUM('06517'!I14)</f>
        <v>22285</v>
      </c>
      <c r="J6" s="3">
        <f>SUM('06517'!J14)</f>
        <v>18691</v>
      </c>
      <c r="K6" s="3">
        <f>SUM('06517'!K14)</f>
        <v>22733</v>
      </c>
      <c r="L6" s="3">
        <f>SUM('06517'!L14)</f>
        <v>17755</v>
      </c>
      <c r="M6" s="3">
        <f>SUM('06517'!M14)</f>
        <v>8394</v>
      </c>
      <c r="N6" s="3">
        <f>SUM('06517'!N14)</f>
        <v>3252</v>
      </c>
    </row>
    <row r="7" spans="1:14" x14ac:dyDescent="0.2">
      <c r="A7" t="s">
        <v>59</v>
      </c>
      <c r="B7" s="3">
        <f>SUM('06517'!B15:N15)</f>
        <v>277981</v>
      </c>
      <c r="C7" s="3">
        <f>SUM('06517'!C15:O15)</f>
        <v>268441</v>
      </c>
      <c r="D7" s="3">
        <f>SUM('06517'!D15:P15)</f>
        <v>259365</v>
      </c>
      <c r="E7" s="3">
        <f>SUM('06517'!E15:Q15)</f>
        <v>241937</v>
      </c>
      <c r="F7" s="3">
        <f>SUM('06517'!F15:R15)</f>
        <v>218327</v>
      </c>
      <c r="G7" s="3">
        <f>SUM('06517'!G15:S15)</f>
        <v>160019</v>
      </c>
      <c r="H7" s="3">
        <f>SUM('06517'!H15:T15)</f>
        <v>120410</v>
      </c>
      <c r="I7" s="3">
        <f>SUM('06517'!I15:U15)</f>
        <v>94163</v>
      </c>
      <c r="J7" s="3">
        <f>SUM('06517'!J15:V15)</f>
        <v>70741</v>
      </c>
      <c r="K7" s="3">
        <f>SUM('06517'!K15:W15)</f>
        <v>51409</v>
      </c>
      <c r="L7" s="3">
        <f>SUM('06517'!L15:X15)</f>
        <v>28213</v>
      </c>
      <c r="M7" s="3">
        <f>SUM('06517'!M15:Y15)</f>
        <v>11444</v>
      </c>
      <c r="N7" s="3">
        <f>SUM('06517'!N15:Z15)</f>
        <v>3373</v>
      </c>
    </row>
    <row r="8" spans="1:14" x14ac:dyDescent="0.2">
      <c r="A8" t="s">
        <v>60</v>
      </c>
      <c r="B8" s="3">
        <f>SUM('06517'!B16:N16)</f>
        <v>292488</v>
      </c>
      <c r="C8" s="3">
        <f>SUM('06517'!C16:O16)</f>
        <v>277802</v>
      </c>
      <c r="D8" s="3">
        <f>SUM('06517'!D16:P16)</f>
        <v>270408</v>
      </c>
      <c r="E8" s="3">
        <f>SUM('06517'!E16:Q16)</f>
        <v>250600</v>
      </c>
      <c r="F8" s="3">
        <f>SUM('06517'!F16:R16)</f>
        <v>229970</v>
      </c>
      <c r="G8" s="3">
        <f>SUM('06517'!G16:S16)</f>
        <v>173952</v>
      </c>
      <c r="H8" s="3">
        <f>SUM('06517'!H16:T16)</f>
        <v>125498</v>
      </c>
      <c r="I8" s="3">
        <f>SUM('06517'!I16:U16)</f>
        <v>95546</v>
      </c>
      <c r="J8" s="3">
        <f>SUM('06517'!J16:V16)</f>
        <v>71735</v>
      </c>
      <c r="K8" s="3">
        <f>SUM('06517'!K16:W16)</f>
        <v>53570</v>
      </c>
      <c r="L8" s="3">
        <f>SUM('06517'!L16:X16)</f>
        <v>29234</v>
      </c>
      <c r="M8" s="3">
        <f>SUM('06517'!M16:Y16)</f>
        <v>12012</v>
      </c>
      <c r="N8" s="3">
        <f>SUM('06517'!N16:Z16)</f>
        <v>3687</v>
      </c>
    </row>
    <row r="9" spans="1:14" x14ac:dyDescent="0.2">
      <c r="A9"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0D84-055E-A64C-9026-3F8E0C6E9921}">
  <dimension ref="A2:O8"/>
  <sheetViews>
    <sheetView workbookViewId="0">
      <selection activeCell="A11" sqref="A11"/>
    </sheetView>
  </sheetViews>
  <sheetFormatPr baseColWidth="10" defaultRowHeight="15" x14ac:dyDescent="0.2"/>
  <cols>
    <col min="15" max="15" width="10.83203125" style="4"/>
  </cols>
  <sheetData>
    <row r="2" spans="1:15" x14ac:dyDescent="0.2">
      <c r="A2" s="2" t="s">
        <v>54</v>
      </c>
      <c r="B2">
        <f>Number_of_dwelings!B2*Number_of_dwelings!B$1</f>
        <v>268590</v>
      </c>
      <c r="C2">
        <f>Number_of_dwelings!C2*Number_of_dwelings!C$1</f>
        <v>701575</v>
      </c>
      <c r="D2">
        <f>Number_of_dwelings!D2*Number_of_dwelings!D$1</f>
        <v>1318140</v>
      </c>
      <c r="E2">
        <f>Number_of_dwelings!E2*Number_of_dwelings!E$1</f>
        <v>2122285</v>
      </c>
      <c r="F2">
        <f>Number_of_dwelings!F2*Number_of_dwelings!F$1</f>
        <v>4422320</v>
      </c>
      <c r="G2">
        <f>Number_of_dwelings!G2*Number_of_dwelings!G$1</f>
        <v>4854870</v>
      </c>
      <c r="H2">
        <f>Number_of_dwelings!H2*Number_of_dwelings!H$1</f>
        <v>5269000</v>
      </c>
      <c r="I2">
        <f>Number_of_dwelings!I2*Number_of_dwelings!I$1</f>
        <v>5342220</v>
      </c>
      <c r="J2">
        <f>Number_of_dwelings!J2*Number_of_dwelings!J$1</f>
        <v>5262300</v>
      </c>
      <c r="K2">
        <f>Number_of_dwelings!K2*Number_of_dwelings!K$1</f>
        <v>9791640</v>
      </c>
      <c r="L2">
        <f>Number_of_dwelings!L2*Number_of_dwelings!L$1</f>
        <v>8932275</v>
      </c>
      <c r="M2">
        <f>Number_of_dwelings!M2*Number_of_dwelings!M$1</f>
        <v>5034425</v>
      </c>
      <c r="N2">
        <f>Number_of_dwelings!N2*Number_of_dwelings!N$1</f>
        <v>2635100</v>
      </c>
      <c r="O2" s="4">
        <f>SUM(B2:N2)</f>
        <v>55954740</v>
      </c>
    </row>
    <row r="3" spans="1:15" x14ac:dyDescent="0.2">
      <c r="A3" s="2" t="s">
        <v>55</v>
      </c>
      <c r="B3">
        <f>Number_of_dwelings!B3*Number_of_dwelings!B$1</f>
        <v>251985</v>
      </c>
      <c r="C3">
        <f>Number_of_dwelings!C3*Number_of_dwelings!C$1</f>
        <v>618940</v>
      </c>
      <c r="D3">
        <f>Number_of_dwelings!D3*Number_of_dwelings!D$1</f>
        <v>841815</v>
      </c>
      <c r="E3">
        <f>Number_of_dwelings!E3*Number_of_dwelings!E$1</f>
        <v>1512940</v>
      </c>
      <c r="F3">
        <f>Number_of_dwelings!F3*Number_of_dwelings!F$1</f>
        <v>7087500</v>
      </c>
      <c r="G3">
        <f>Number_of_dwelings!G3*Number_of_dwelings!G$1</f>
        <v>5172390</v>
      </c>
      <c r="H3">
        <f>Number_of_dwelings!H3*Number_of_dwelings!H$1</f>
        <v>6113470</v>
      </c>
      <c r="I3">
        <f>Number_of_dwelings!I3*Number_of_dwelings!I$1</f>
        <v>7627880</v>
      </c>
      <c r="J3">
        <f>Number_of_dwelings!J3*Number_of_dwelings!J$1</f>
        <v>8806050</v>
      </c>
      <c r="K3">
        <f>Number_of_dwelings!K3*Number_of_dwelings!K$1</f>
        <v>18264600</v>
      </c>
      <c r="L3">
        <f>Number_of_dwelings!L3*Number_of_dwelings!L$1</f>
        <v>14623425</v>
      </c>
      <c r="M3">
        <f>Number_of_dwelings!M3*Number_of_dwelings!M$1</f>
        <v>6356900</v>
      </c>
      <c r="N3">
        <f>Number_of_dwelings!N3*Number_of_dwelings!N$1</f>
        <v>2357225</v>
      </c>
      <c r="O3" s="4">
        <f t="shared" ref="O3:O8" si="0">SUM(B3:N3)</f>
        <v>79635120</v>
      </c>
    </row>
    <row r="4" spans="1:15" x14ac:dyDescent="0.2">
      <c r="A4" s="2" t="s">
        <v>56</v>
      </c>
      <c r="B4">
        <f>Number_of_dwelings!B4*Number_of_dwelings!B$1</f>
        <v>124980</v>
      </c>
      <c r="C4">
        <f>Number_of_dwelings!C4*Number_of_dwelings!C$1</f>
        <v>267085</v>
      </c>
      <c r="D4">
        <f>Number_of_dwelings!D4*Number_of_dwelings!D$1</f>
        <v>678780</v>
      </c>
      <c r="E4">
        <f>Number_of_dwelings!E4*Number_of_dwelings!E$1</f>
        <v>1098130</v>
      </c>
      <c r="F4">
        <f>Number_of_dwelings!F4*Number_of_dwelings!F$1</f>
        <v>2390780</v>
      </c>
      <c r="G4">
        <f>Number_of_dwelings!G4*Number_of_dwelings!G$1</f>
        <v>3615930</v>
      </c>
      <c r="H4">
        <f>Number_of_dwelings!H4*Number_of_dwelings!H$1</f>
        <v>5010280</v>
      </c>
      <c r="I4">
        <f>Number_of_dwelings!I4*Number_of_dwelings!I$1</f>
        <v>4460430</v>
      </c>
      <c r="J4">
        <f>Number_of_dwelings!J4*Number_of_dwelings!J$1</f>
        <v>4266300</v>
      </c>
      <c r="K4">
        <f>Number_of_dwelings!K4*Number_of_dwelings!K$1</f>
        <v>12598560</v>
      </c>
      <c r="L4">
        <f>Number_of_dwelings!L4*Number_of_dwelings!L$1</f>
        <v>10470825</v>
      </c>
      <c r="M4">
        <f>Number_of_dwelings!M4*Number_of_dwelings!M$1</f>
        <v>4467100</v>
      </c>
      <c r="N4">
        <f>Number_of_dwelings!N4*Number_of_dwelings!N$1</f>
        <v>1479075</v>
      </c>
      <c r="O4" s="4">
        <f t="shared" si="0"/>
        <v>50928255</v>
      </c>
    </row>
    <row r="5" spans="1:15" x14ac:dyDescent="0.2">
      <c r="A5" s="2" t="s">
        <v>57</v>
      </c>
      <c r="B5">
        <f>Number_of_dwelings!B5*Number_of_dwelings!B$1</f>
        <v>83775</v>
      </c>
      <c r="C5">
        <f>Number_of_dwelings!C5*Number_of_dwelings!C$1</f>
        <v>132965</v>
      </c>
      <c r="D5">
        <f>Number_of_dwelings!D5*Number_of_dwelings!D$1</f>
        <v>346680</v>
      </c>
      <c r="E5">
        <f>Number_of_dwelings!E5*Number_of_dwelings!E$1</f>
        <v>862400</v>
      </c>
      <c r="F5">
        <f>Number_of_dwelings!F5*Number_of_dwelings!F$1</f>
        <v>2370200</v>
      </c>
      <c r="G5">
        <f>Number_of_dwelings!G5*Number_of_dwelings!G$1</f>
        <v>2497860</v>
      </c>
      <c r="H5">
        <f>Number_of_dwelings!H5*Number_of_dwelings!H$1</f>
        <v>3496680</v>
      </c>
      <c r="I5">
        <f>Number_of_dwelings!I5*Number_of_dwelings!I$1</f>
        <v>3205020</v>
      </c>
      <c r="J5">
        <f>Number_of_dwelings!J5*Number_of_dwelings!J$1</f>
        <v>3432600</v>
      </c>
      <c r="K5">
        <f>Number_of_dwelings!K5*Number_of_dwelings!K$1</f>
        <v>10711080</v>
      </c>
      <c r="L5">
        <f>Number_of_dwelings!L5*Number_of_dwelings!L$1</f>
        <v>11052675</v>
      </c>
      <c r="M5">
        <f>Number_of_dwelings!M5*Number_of_dwelings!M$1</f>
        <v>6377525</v>
      </c>
      <c r="N5">
        <f>Number_of_dwelings!N5*Number_of_dwelings!N$1</f>
        <v>2778100</v>
      </c>
      <c r="O5" s="4">
        <f t="shared" si="0"/>
        <v>47347560</v>
      </c>
    </row>
    <row r="6" spans="1:15" x14ac:dyDescent="0.2">
      <c r="A6" s="2" t="s">
        <v>58</v>
      </c>
      <c r="B6">
        <f>Number_of_dwelings!B6*Number_of_dwelings!B$1</f>
        <v>116700</v>
      </c>
      <c r="C6">
        <f>Number_of_dwelings!C6*Number_of_dwelings!C$1</f>
        <v>135975</v>
      </c>
      <c r="D6">
        <f>Number_of_dwelings!D6*Number_of_dwelings!D$1</f>
        <v>341910</v>
      </c>
      <c r="E6">
        <f>Number_of_dwelings!E6*Number_of_dwelings!E$1</f>
        <v>957495</v>
      </c>
      <c r="F6">
        <f>Number_of_dwelings!F6*Number_of_dwelings!F$1</f>
        <v>2853340</v>
      </c>
      <c r="G6">
        <f>Number_of_dwelings!G6*Number_of_dwelings!G$1</f>
        <v>2435940</v>
      </c>
      <c r="H6">
        <f>Number_of_dwelings!H6*Number_of_dwelings!H$1</f>
        <v>2286350</v>
      </c>
      <c r="I6">
        <f>Number_of_dwelings!I6*Number_of_dwelings!I$1</f>
        <v>2897050</v>
      </c>
      <c r="J6">
        <f>Number_of_dwelings!J6*Number_of_dwelings!J$1</f>
        <v>2803650</v>
      </c>
      <c r="K6">
        <f>Number_of_dwelings!K6*Number_of_dwelings!K$1</f>
        <v>4091940</v>
      </c>
      <c r="L6">
        <f>Number_of_dwelings!L6*Number_of_dwelings!L$1</f>
        <v>3994875</v>
      </c>
      <c r="M6">
        <f>Number_of_dwelings!M6*Number_of_dwelings!M$1</f>
        <v>2308350</v>
      </c>
      <c r="N6">
        <f>Number_of_dwelings!N6*Number_of_dwelings!N$1</f>
        <v>1056900</v>
      </c>
      <c r="O6" s="4">
        <f t="shared" si="0"/>
        <v>26280475</v>
      </c>
    </row>
    <row r="7" spans="1:15" x14ac:dyDescent="0.2">
      <c r="A7" s="2" t="s">
        <v>59</v>
      </c>
      <c r="B7">
        <f>Number_of_dwelings!B7*Number_of_dwelings!B$1</f>
        <v>4169715</v>
      </c>
      <c r="C7">
        <f>Number_of_dwelings!C7*Number_of_dwelings!C$1</f>
        <v>9395435</v>
      </c>
      <c r="D7">
        <f>Number_of_dwelings!D7*Number_of_dwelings!D$1</f>
        <v>11671425</v>
      </c>
      <c r="E7">
        <f>Number_of_dwelings!E7*Number_of_dwelings!E$1</f>
        <v>13306535</v>
      </c>
      <c r="F7">
        <f>Number_of_dwelings!F7*Number_of_dwelings!F$1</f>
        <v>15282890</v>
      </c>
      <c r="G7">
        <f>Number_of_dwelings!G7*Number_of_dwelings!G$1</f>
        <v>14401710</v>
      </c>
      <c r="H7">
        <f>Number_of_dwelings!H7*Number_of_dwelings!H$1</f>
        <v>13245100</v>
      </c>
      <c r="I7">
        <f>Number_of_dwelings!I7*Number_of_dwelings!I$1</f>
        <v>12241190</v>
      </c>
      <c r="J7">
        <f>Number_of_dwelings!J7*Number_of_dwelings!J$1</f>
        <v>10611150</v>
      </c>
      <c r="K7">
        <f>Number_of_dwelings!K7*Number_of_dwelings!K$1</f>
        <v>9253620</v>
      </c>
      <c r="L7">
        <f>Number_of_dwelings!L7*Number_of_dwelings!L$1</f>
        <v>6347925</v>
      </c>
      <c r="M7">
        <f>Number_of_dwelings!M7*Number_of_dwelings!M$1</f>
        <v>3147100</v>
      </c>
      <c r="N7">
        <f>Number_of_dwelings!N7*Number_of_dwelings!N$1</f>
        <v>1096225</v>
      </c>
      <c r="O7" s="4">
        <f t="shared" si="0"/>
        <v>124170020</v>
      </c>
    </row>
    <row r="8" spans="1:15" x14ac:dyDescent="0.2">
      <c r="A8" s="2" t="s">
        <v>60</v>
      </c>
      <c r="B8">
        <f>Number_of_dwelings!B8*Number_of_dwelings!B$1</f>
        <v>4387320</v>
      </c>
      <c r="C8">
        <f>Number_of_dwelings!C8*Number_of_dwelings!C$1</f>
        <v>9723070</v>
      </c>
      <c r="D8">
        <f>Number_of_dwelings!D8*Number_of_dwelings!D$1</f>
        <v>12168360</v>
      </c>
      <c r="E8">
        <f>Number_of_dwelings!E8*Number_of_dwelings!E$1</f>
        <v>13783000</v>
      </c>
      <c r="F8">
        <f>Number_of_dwelings!F8*Number_of_dwelings!F$1</f>
        <v>16097900</v>
      </c>
      <c r="G8">
        <f>Number_of_dwelings!G8*Number_of_dwelings!G$1</f>
        <v>15655680</v>
      </c>
      <c r="H8">
        <f>Number_of_dwelings!H8*Number_of_dwelings!H$1</f>
        <v>13804780</v>
      </c>
      <c r="I8">
        <f>Number_of_dwelings!I8*Number_of_dwelings!I$1</f>
        <v>12420980</v>
      </c>
      <c r="J8">
        <f>Number_of_dwelings!J8*Number_of_dwelings!J$1</f>
        <v>10760250</v>
      </c>
      <c r="K8">
        <f>Number_of_dwelings!K8*Number_of_dwelings!K$1</f>
        <v>9642600</v>
      </c>
      <c r="L8">
        <f>Number_of_dwelings!L8*Number_of_dwelings!L$1</f>
        <v>6577650</v>
      </c>
      <c r="M8">
        <f>Number_of_dwelings!M8*Number_of_dwelings!M$1</f>
        <v>3303300</v>
      </c>
      <c r="N8">
        <f>Number_of_dwelings!N8*Number_of_dwelings!N$1</f>
        <v>1198275</v>
      </c>
      <c r="O8" s="4">
        <f t="shared" si="0"/>
        <v>129523165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4AE2-1F2D-C243-889A-B0543591E9E3}">
  <dimension ref="A1:I2"/>
  <sheetViews>
    <sheetView tabSelected="1" workbookViewId="0"/>
  </sheetViews>
  <sheetFormatPr baseColWidth="10" defaultRowHeight="15" x14ac:dyDescent="0.2"/>
  <cols>
    <col min="2" max="2" width="18.1640625" bestFit="1" customWidth="1"/>
    <col min="3" max="3" width="13.33203125" bestFit="1" customWidth="1"/>
    <col min="4" max="8" width="17" bestFit="1" customWidth="1"/>
    <col min="9" max="9" width="16" bestFit="1" customWidth="1"/>
  </cols>
  <sheetData>
    <row r="1" spans="1:9" ht="16" x14ac:dyDescent="0.2">
      <c r="A1" t="s">
        <v>71</v>
      </c>
      <c r="B1" s="5" t="s">
        <v>62</v>
      </c>
      <c r="C1" s="5" t="s">
        <v>63</v>
      </c>
      <c r="D1" s="5" t="s">
        <v>64</v>
      </c>
      <c r="E1" s="5" t="s">
        <v>65</v>
      </c>
      <c r="F1" s="5" t="s">
        <v>66</v>
      </c>
      <c r="G1" s="5" t="s">
        <v>67</v>
      </c>
      <c r="H1" s="5" t="s">
        <v>68</v>
      </c>
      <c r="I1" s="5" t="s">
        <v>69</v>
      </c>
    </row>
    <row r="2" spans="1:9" x14ac:dyDescent="0.2">
      <c r="A2" t="s">
        <v>70</v>
      </c>
      <c r="B2">
        <f>SUM(Floor_area_per_construction_yea!O2:O8)</f>
        <v>513839335</v>
      </c>
      <c r="C2">
        <f>Floor_area_per_construction_yea!O2/Norway_floor_data_2020!B2</f>
        <v>0.10889540015460281</v>
      </c>
      <c r="D2">
        <f>Floor_area_per_construction_yea!O3/Norway_floor_data_2020!B2</f>
        <v>0.15498058357093272</v>
      </c>
      <c r="E2">
        <f>Floor_area_per_construction_yea!O4/Norway_floor_data_2020!B2</f>
        <v>9.9113188755781026E-2</v>
      </c>
      <c r="F2">
        <f>Floor_area_per_construction_yea!O5/Norway_floor_data_2020!B2</f>
        <v>9.2144677869007444E-2</v>
      </c>
      <c r="G2">
        <f>Floor_area_per_construction_yea!O6/Norway_floor_data_2020!B2</f>
        <v>5.1145315685106121E-2</v>
      </c>
      <c r="H2">
        <f>Floor_area_per_construction_yea!O7/B2</f>
        <v>0.24165144928034751</v>
      </c>
      <c r="I2">
        <f>Floor_area_per_construction_yea!O8/B2</f>
        <v>0.25206938468422235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06517</vt:lpstr>
      <vt:lpstr>Number_of_dwelings</vt:lpstr>
      <vt:lpstr>Floor_area_per_construction_yea</vt:lpstr>
      <vt:lpstr>Norway_floor_data_2020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17281442811011116638102512442</cp:lastModifiedBy>
  <dcterms:created xsi:type="dcterms:W3CDTF">2026-06-25T11:03:18Z</dcterms:created>
  <dcterms:modified xsi:type="dcterms:W3CDTF">2026-06-25T11:20:01Z</dcterms:modified>
</cp:coreProperties>
</file>
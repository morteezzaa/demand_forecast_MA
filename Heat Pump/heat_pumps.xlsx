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ttuberlin-my.sharepoint.com/personal/17281442811011116638102512442_msopseudo_tu-berlin_de/Documents/Dokumente/2. WiIng/4. Masterarbeit SS26/Code/Heat Pump/"/>
    </mc:Choice>
  </mc:AlternateContent>
  <xr:revisionPtr revIDLastSave="301" documentId="13_ncr:1_{43BD2D88-8073-4D43-9DAF-0EC65F0D6566}" xr6:coauthVersionLast="47" xr6:coauthVersionMax="47" xr10:uidLastSave="{C74477D1-6BEF-C846-8210-CF3D55DD148D}"/>
  <bookViews>
    <workbookView xWindow="33820" yWindow="-2840" windowWidth="30240" windowHeight="17300" activeTab="2" xr2:uid="{00000000-000D-0000-FFFF-FFFF00000000}"/>
  </bookViews>
  <sheets>
    <sheet name="Documentation" sheetId="8" r:id="rId1"/>
    <sheet name="BSO data" sheetId="1" r:id="rId2"/>
    <sheet name="heat_spec_distribution" sheetId="4" r:id="rId3"/>
    <sheet name="heat_demand_by_country_TWh" sheetId="5" r:id="rId4"/>
    <sheet name="elect_demand_heating_TWh" sheetId="7" r:id="rId5"/>
    <sheet name="elec_Demand_HP_TWh" sheetId="6" r:id="rId6"/>
    <sheet name="new_building_eurostat" sheetId="3" r:id="rId7"/>
    <sheet name="useful_area_m2" sheetId="2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1" l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B5" i="4" s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B19" i="4" s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B20" i="4" s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B26" i="4"/>
  <c r="B10" i="4"/>
  <c r="B24" i="4"/>
  <c r="E2" i="2"/>
  <c r="F2" i="2"/>
  <c r="G2" i="2" s="1"/>
  <c r="H2" i="2" s="1"/>
  <c r="I2" i="2" s="1"/>
  <c r="J2" i="2" s="1"/>
  <c r="K2" i="2" s="1"/>
  <c r="L2" i="2" s="1"/>
  <c r="M2" i="2" s="1"/>
  <c r="N2" i="2" s="1"/>
  <c r="O2" i="2" s="1"/>
  <c r="P2" i="2" s="1"/>
  <c r="Q2" i="2" s="1"/>
  <c r="R2" i="2" s="1"/>
  <c r="S2" i="2" s="1"/>
  <c r="T2" i="2" s="1"/>
  <c r="U2" i="2" s="1"/>
  <c r="V2" i="2" s="1"/>
  <c r="W2" i="2" s="1"/>
  <c r="X2" i="2" s="1"/>
  <c r="Y2" i="2" s="1"/>
  <c r="Z2" i="2"/>
  <c r="AA2" i="2" s="1"/>
  <c r="AB2" i="2" s="1"/>
  <c r="AC2" i="2" s="1"/>
  <c r="AD2" i="2" s="1"/>
  <c r="AE2" i="2" s="1"/>
  <c r="AF2" i="2"/>
  <c r="AG2" i="2" s="1"/>
  <c r="AH2" i="2" s="1"/>
  <c r="AI2" i="2" s="1"/>
  <c r="AJ2" i="2" s="1"/>
  <c r="AK2" i="2" s="1"/>
  <c r="AL2" i="2" s="1"/>
  <c r="AM2" i="2" s="1"/>
  <c r="AN2" i="2"/>
  <c r="AO2" i="2" s="1"/>
  <c r="AP2" i="2" s="1"/>
  <c r="AQ2" i="2"/>
  <c r="E3" i="2"/>
  <c r="F3" i="2"/>
  <c r="G3" i="2"/>
  <c r="H3" i="2" s="1"/>
  <c r="I3" i="2" s="1"/>
  <c r="J3" i="2" s="1"/>
  <c r="K3" i="2" s="1"/>
  <c r="L3" i="2" s="1"/>
  <c r="M3" i="2" s="1"/>
  <c r="N3" i="2" s="1"/>
  <c r="O3" i="2"/>
  <c r="P3" i="2" s="1"/>
  <c r="Q3" i="2" s="1"/>
  <c r="R3" i="2"/>
  <c r="S3" i="2"/>
  <c r="T3" i="2"/>
  <c r="U3" i="2"/>
  <c r="V3" i="2" s="1"/>
  <c r="W3" i="2" s="1"/>
  <c r="X3" i="2" s="1"/>
  <c r="Y3" i="2" s="1"/>
  <c r="Z3" i="2" s="1"/>
  <c r="AA3" i="2" s="1"/>
  <c r="AB3" i="2" s="1"/>
  <c r="AC3" i="2" s="1"/>
  <c r="AD3" i="2" s="1"/>
  <c r="AE3" i="2" s="1"/>
  <c r="AF3" i="2" s="1"/>
  <c r="AG3" i="2" s="1"/>
  <c r="AH3" i="2" s="1"/>
  <c r="AI3" i="2" s="1"/>
  <c r="AJ3" i="2" s="1"/>
  <c r="AK3" i="2" s="1"/>
  <c r="AL3" i="2" s="1"/>
  <c r="AM3" i="2" s="1"/>
  <c r="AN3" i="2" s="1"/>
  <c r="AO3" i="2" s="1"/>
  <c r="AP3" i="2" s="1"/>
  <c r="AQ3" i="2" s="1"/>
  <c r="E4" i="2"/>
  <c r="F4" i="2"/>
  <c r="G4" i="2"/>
  <c r="H4" i="2"/>
  <c r="I4" i="2"/>
  <c r="J4" i="2"/>
  <c r="K4" i="2" s="1"/>
  <c r="L4" i="2"/>
  <c r="M4" i="2" s="1"/>
  <c r="N4" i="2" s="1"/>
  <c r="O4" i="2" s="1"/>
  <c r="P4" i="2" s="1"/>
  <c r="Q4" i="2" s="1"/>
  <c r="R4" i="2" s="1"/>
  <c r="S4" i="2" s="1"/>
  <c r="T4" i="2" s="1"/>
  <c r="U4" i="2" s="1"/>
  <c r="V4" i="2"/>
  <c r="W4" i="2"/>
  <c r="X4" i="2"/>
  <c r="Y4" i="2" s="1"/>
  <c r="Z4" i="2"/>
  <c r="AA4" i="2" s="1"/>
  <c r="AB4" i="2" s="1"/>
  <c r="AC4" i="2" s="1"/>
  <c r="AD4" i="2" s="1"/>
  <c r="AE4" i="2" s="1"/>
  <c r="AF4" i="2" s="1"/>
  <c r="AG4" i="2" s="1"/>
  <c r="AH4" i="2" s="1"/>
  <c r="AI4" i="2" s="1"/>
  <c r="AJ4" i="2" s="1"/>
  <c r="AK4" i="2" s="1"/>
  <c r="AL4" i="2" s="1"/>
  <c r="AM4" i="2" s="1"/>
  <c r="AN4" i="2" s="1"/>
  <c r="AO4" i="2" s="1"/>
  <c r="AP4" i="2" s="1"/>
  <c r="AQ4" i="2" s="1"/>
  <c r="E5" i="2"/>
  <c r="F5" i="2"/>
  <c r="G5" i="2"/>
  <c r="H5" i="2" s="1"/>
  <c r="I5" i="2" s="1"/>
  <c r="J5" i="2"/>
  <c r="K5" i="2"/>
  <c r="L5" i="2"/>
  <c r="M5" i="2"/>
  <c r="N5" i="2" s="1"/>
  <c r="O5" i="2" s="1"/>
  <c r="P5" i="2" s="1"/>
  <c r="Q5" i="2" s="1"/>
  <c r="R5" i="2" s="1"/>
  <c r="S5" i="2" s="1"/>
  <c r="T5" i="2" s="1"/>
  <c r="U5" i="2" s="1"/>
  <c r="V5" i="2" s="1"/>
  <c r="W5" i="2" s="1"/>
  <c r="X5" i="2" s="1"/>
  <c r="Y5" i="2" s="1"/>
  <c r="Z5" i="2" s="1"/>
  <c r="AA5" i="2" s="1"/>
  <c r="AB5" i="2" s="1"/>
  <c r="AC5" i="2" s="1"/>
  <c r="AD5" i="2" s="1"/>
  <c r="AE5" i="2" s="1"/>
  <c r="AF5" i="2" s="1"/>
  <c r="AG5" i="2" s="1"/>
  <c r="AH5" i="2" s="1"/>
  <c r="AI5" i="2" s="1"/>
  <c r="AJ5" i="2" s="1"/>
  <c r="AK5" i="2" s="1"/>
  <c r="AL5" i="2" s="1"/>
  <c r="AM5" i="2" s="1"/>
  <c r="AN5" i="2" s="1"/>
  <c r="AO5" i="2" s="1"/>
  <c r="AP5" i="2" s="1"/>
  <c r="AQ5" i="2" s="1"/>
  <c r="E6" i="2"/>
  <c r="F6" i="2"/>
  <c r="G6" i="2"/>
  <c r="H6" i="2" s="1"/>
  <c r="I6" i="2" s="1"/>
  <c r="J6" i="2"/>
  <c r="K6" i="2" s="1"/>
  <c r="L6" i="2" s="1"/>
  <c r="M6" i="2"/>
  <c r="N6" i="2"/>
  <c r="O6" i="2"/>
  <c r="P6" i="2"/>
  <c r="Q6" i="2" s="1"/>
  <c r="R6" i="2"/>
  <c r="S6" i="2" s="1"/>
  <c r="T6" i="2" s="1"/>
  <c r="U6" i="2" s="1"/>
  <c r="V6" i="2" s="1"/>
  <c r="W6" i="2" s="1"/>
  <c r="X6" i="2"/>
  <c r="Y6" i="2" s="1"/>
  <c r="Z6" i="2" s="1"/>
  <c r="AA6" i="2" s="1"/>
  <c r="AB6" i="2"/>
  <c r="AC6" i="2"/>
  <c r="AD6" i="2"/>
  <c r="AE6" i="2" s="1"/>
  <c r="AF6" i="2"/>
  <c r="AG6" i="2" s="1"/>
  <c r="AH6" i="2" s="1"/>
  <c r="AI6" i="2" s="1"/>
  <c r="AJ6" i="2" s="1"/>
  <c r="AK6" i="2" s="1"/>
  <c r="AL6" i="2" s="1"/>
  <c r="AM6" i="2" s="1"/>
  <c r="AN6" i="2" s="1"/>
  <c r="AO6" i="2" s="1"/>
  <c r="AP6" i="2" s="1"/>
  <c r="AQ6" i="2" s="1"/>
  <c r="E7" i="2"/>
  <c r="F7" i="2" s="1"/>
  <c r="G7" i="2"/>
  <c r="H7" i="2" s="1"/>
  <c r="I7" i="2" s="1"/>
  <c r="J7" i="2" s="1"/>
  <c r="K7" i="2" s="1"/>
  <c r="L7" i="2" s="1"/>
  <c r="M7" i="2" s="1"/>
  <c r="N7" i="2" s="1"/>
  <c r="O7" i="2" s="1"/>
  <c r="P7" i="2" s="1"/>
  <c r="Q7" i="2" s="1"/>
  <c r="R7" i="2" s="1"/>
  <c r="S7" i="2" s="1"/>
  <c r="T7" i="2" s="1"/>
  <c r="U7" i="2" s="1"/>
  <c r="V7" i="2" s="1"/>
  <c r="W7" i="2" s="1"/>
  <c r="X7" i="2" s="1"/>
  <c r="Y7" i="2" s="1"/>
  <c r="Z7" i="2" s="1"/>
  <c r="AA7" i="2" s="1"/>
  <c r="AB7" i="2" s="1"/>
  <c r="AC7" i="2" s="1"/>
  <c r="AD7" i="2" s="1"/>
  <c r="AE7" i="2" s="1"/>
  <c r="AF7" i="2" s="1"/>
  <c r="AG7" i="2" s="1"/>
  <c r="AH7" i="2" s="1"/>
  <c r="AI7" i="2" s="1"/>
  <c r="AJ7" i="2" s="1"/>
  <c r="AK7" i="2" s="1"/>
  <c r="AL7" i="2" s="1"/>
  <c r="AM7" i="2" s="1"/>
  <c r="AN7" i="2" s="1"/>
  <c r="AO7" i="2" s="1"/>
  <c r="AP7" i="2" s="1"/>
  <c r="AQ7" i="2" s="1"/>
  <c r="E8" i="2"/>
  <c r="F8" i="2" s="1"/>
  <c r="G8" i="2" s="1"/>
  <c r="H8" i="2" s="1"/>
  <c r="I8" i="2" s="1"/>
  <c r="J8" i="2" s="1"/>
  <c r="K8" i="2" s="1"/>
  <c r="L8" i="2" s="1"/>
  <c r="M8" i="2" s="1"/>
  <c r="N8" i="2" s="1"/>
  <c r="O8" i="2" s="1"/>
  <c r="P8" i="2" s="1"/>
  <c r="Q8" i="2" s="1"/>
  <c r="R8" i="2" s="1"/>
  <c r="S8" i="2"/>
  <c r="T8" i="2" s="1"/>
  <c r="U8" i="2" s="1"/>
  <c r="V8" i="2"/>
  <c r="W8" i="2" s="1"/>
  <c r="X8" i="2"/>
  <c r="Y8" i="2" s="1"/>
  <c r="Z8" i="2" s="1"/>
  <c r="AA8" i="2" s="1"/>
  <c r="AB8" i="2" s="1"/>
  <c r="AC8" i="2"/>
  <c r="AD8" i="2"/>
  <c r="AE8" i="2" s="1"/>
  <c r="AF8" i="2" s="1"/>
  <c r="AG8" i="2" s="1"/>
  <c r="AH8" i="2" s="1"/>
  <c r="AI8" i="2" s="1"/>
  <c r="AJ8" i="2" s="1"/>
  <c r="AK8" i="2" s="1"/>
  <c r="AL8" i="2" s="1"/>
  <c r="AM8" i="2" s="1"/>
  <c r="AN8" i="2" s="1"/>
  <c r="AO8" i="2" s="1"/>
  <c r="AP8" i="2" s="1"/>
  <c r="AQ8" i="2" s="1"/>
  <c r="E9" i="2"/>
  <c r="F9" i="2" s="1"/>
  <c r="G9" i="2" s="1"/>
  <c r="H9" i="2" s="1"/>
  <c r="I9" i="2"/>
  <c r="J9" i="2"/>
  <c r="K9" i="2"/>
  <c r="L9" i="2" s="1"/>
  <c r="M9" i="2"/>
  <c r="N9" i="2" s="1"/>
  <c r="O9" i="2" s="1"/>
  <c r="P9" i="2" s="1"/>
  <c r="Q9" i="2" s="1"/>
  <c r="R9" i="2" s="1"/>
  <c r="S9" i="2" s="1"/>
  <c r="T9" i="2" s="1"/>
  <c r="U9" i="2" s="1"/>
  <c r="V9" i="2" s="1"/>
  <c r="W9" i="2" s="1"/>
  <c r="X9" i="2" s="1"/>
  <c r="Y9" i="2"/>
  <c r="Z9" i="2" s="1"/>
  <c r="AA9" i="2"/>
  <c r="AB9" i="2" s="1"/>
  <c r="AC9" i="2" s="1"/>
  <c r="AD9" i="2" s="1"/>
  <c r="AE9" i="2" s="1"/>
  <c r="AF9" i="2" s="1"/>
  <c r="AG9" i="2" s="1"/>
  <c r="AH9" i="2" s="1"/>
  <c r="AI9" i="2" s="1"/>
  <c r="AJ9" i="2" s="1"/>
  <c r="AK9" i="2" s="1"/>
  <c r="AL9" i="2" s="1"/>
  <c r="AM9" i="2" s="1"/>
  <c r="AN9" i="2" s="1"/>
  <c r="AO9" i="2" s="1"/>
  <c r="AP9" i="2" s="1"/>
  <c r="AQ9" i="2" s="1"/>
  <c r="E10" i="2"/>
  <c r="F10" i="2" s="1"/>
  <c r="G10" i="2"/>
  <c r="H10" i="2"/>
  <c r="I10" i="2" s="1"/>
  <c r="J10" i="2"/>
  <c r="K10" i="2"/>
  <c r="L10" i="2"/>
  <c r="M10" i="2" s="1"/>
  <c r="N10" i="2" s="1"/>
  <c r="O10" i="2" s="1"/>
  <c r="P10" i="2"/>
  <c r="Q10" i="2" s="1"/>
  <c r="R10" i="2" s="1"/>
  <c r="S10" i="2" s="1"/>
  <c r="T10" i="2" s="1"/>
  <c r="U10" i="2"/>
  <c r="V10" i="2"/>
  <c r="W10" i="2" s="1"/>
  <c r="X10" i="2"/>
  <c r="Y10" i="2" s="1"/>
  <c r="Z10" i="2" s="1"/>
  <c r="AA10" i="2" s="1"/>
  <c r="AB10" i="2" s="1"/>
  <c r="AC10" i="2" s="1"/>
  <c r="AD10" i="2" s="1"/>
  <c r="AE10" i="2" s="1"/>
  <c r="AF10" i="2" s="1"/>
  <c r="AG10" i="2" s="1"/>
  <c r="AH10" i="2" s="1"/>
  <c r="AI10" i="2" s="1"/>
  <c r="AJ10" i="2" s="1"/>
  <c r="AK10" i="2" s="1"/>
  <c r="AL10" i="2" s="1"/>
  <c r="AM10" i="2" s="1"/>
  <c r="AN10" i="2" s="1"/>
  <c r="AO10" i="2" s="1"/>
  <c r="AP10" i="2" s="1"/>
  <c r="AQ10" i="2" s="1"/>
  <c r="E11" i="2"/>
  <c r="F11" i="2" s="1"/>
  <c r="G11" i="2" s="1"/>
  <c r="H11" i="2" s="1"/>
  <c r="I11" i="2" s="1"/>
  <c r="J11" i="2"/>
  <c r="K11" i="2" s="1"/>
  <c r="L11" i="2" s="1"/>
  <c r="M11" i="2" s="1"/>
  <c r="N11" i="2" s="1"/>
  <c r="O11" i="2" s="1"/>
  <c r="P11" i="2" s="1"/>
  <c r="Q11" i="2" s="1"/>
  <c r="R11" i="2" s="1"/>
  <c r="S11" i="2"/>
  <c r="T11" i="2" s="1"/>
  <c r="U11" i="2" s="1"/>
  <c r="V11" i="2" s="1"/>
  <c r="W11" i="2" s="1"/>
  <c r="X11" i="2" s="1"/>
  <c r="Y11" i="2" s="1"/>
  <c r="Z11" i="2" s="1"/>
  <c r="AA11" i="2" s="1"/>
  <c r="AB11" i="2" s="1"/>
  <c r="AC11" i="2" s="1"/>
  <c r="AD11" i="2" s="1"/>
  <c r="AE11" i="2" s="1"/>
  <c r="AF11" i="2" s="1"/>
  <c r="AG11" i="2" s="1"/>
  <c r="AH11" i="2" s="1"/>
  <c r="AI11" i="2" s="1"/>
  <c r="AJ11" i="2" s="1"/>
  <c r="AK11" i="2" s="1"/>
  <c r="AL11" i="2" s="1"/>
  <c r="AM11" i="2" s="1"/>
  <c r="AN11" i="2" s="1"/>
  <c r="AO11" i="2" s="1"/>
  <c r="AP11" i="2" s="1"/>
  <c r="AQ11" i="2" s="1"/>
  <c r="E12" i="2"/>
  <c r="F12" i="2"/>
  <c r="G12" i="2" s="1"/>
  <c r="H12" i="2" s="1"/>
  <c r="I12" i="2" s="1"/>
  <c r="J12" i="2" s="1"/>
  <c r="K12" i="2" s="1"/>
  <c r="L12" i="2" s="1"/>
  <c r="M12" i="2" s="1"/>
  <c r="N12" i="2" s="1"/>
  <c r="O12" i="2" s="1"/>
  <c r="P12" i="2" s="1"/>
  <c r="Q12" i="2" s="1"/>
  <c r="R12" i="2" s="1"/>
  <c r="S12" i="2" s="1"/>
  <c r="T12" i="2" s="1"/>
  <c r="U12" i="2" s="1"/>
  <c r="V12" i="2" s="1"/>
  <c r="W12" i="2" s="1"/>
  <c r="X12" i="2" s="1"/>
  <c r="Y12" i="2" s="1"/>
  <c r="Z12" i="2" s="1"/>
  <c r="AA12" i="2" s="1"/>
  <c r="AB12" i="2" s="1"/>
  <c r="AC12" i="2" s="1"/>
  <c r="AD12" i="2" s="1"/>
  <c r="AE12" i="2" s="1"/>
  <c r="AF12" i="2" s="1"/>
  <c r="AG12" i="2" s="1"/>
  <c r="AH12" i="2" s="1"/>
  <c r="AI12" i="2" s="1"/>
  <c r="AJ12" i="2" s="1"/>
  <c r="AK12" i="2" s="1"/>
  <c r="AL12" i="2" s="1"/>
  <c r="AM12" i="2" s="1"/>
  <c r="AN12" i="2" s="1"/>
  <c r="AO12" i="2" s="1"/>
  <c r="AP12" i="2" s="1"/>
  <c r="AQ12" i="2" s="1"/>
  <c r="E13" i="2"/>
  <c r="F13" i="2" s="1"/>
  <c r="G13" i="2" s="1"/>
  <c r="H13" i="2" s="1"/>
  <c r="I13" i="2" s="1"/>
  <c r="J13" i="2" s="1"/>
  <c r="K13" i="2" s="1"/>
  <c r="L13" i="2" s="1"/>
  <c r="M13" i="2" s="1"/>
  <c r="N13" i="2" s="1"/>
  <c r="O13" i="2" s="1"/>
  <c r="P13" i="2" s="1"/>
  <c r="Q13" i="2"/>
  <c r="R13" i="2" s="1"/>
  <c r="S13" i="2"/>
  <c r="T13" i="2" s="1"/>
  <c r="U13" i="2" s="1"/>
  <c r="V13" i="2"/>
  <c r="W13" i="2"/>
  <c r="X13" i="2" s="1"/>
  <c r="Y13" i="2" s="1"/>
  <c r="Z13" i="2" s="1"/>
  <c r="AA13" i="2" s="1"/>
  <c r="AB13" i="2" s="1"/>
  <c r="AC13" i="2" s="1"/>
  <c r="AD13" i="2" s="1"/>
  <c r="AE13" i="2" s="1"/>
  <c r="AF13" i="2" s="1"/>
  <c r="AG13" i="2" s="1"/>
  <c r="AH13" i="2" s="1"/>
  <c r="AI13" i="2" s="1"/>
  <c r="AJ13" i="2" s="1"/>
  <c r="AK13" i="2" s="1"/>
  <c r="AL13" i="2" s="1"/>
  <c r="AM13" i="2" s="1"/>
  <c r="AN13" i="2" s="1"/>
  <c r="AO13" i="2" s="1"/>
  <c r="AP13" i="2" s="1"/>
  <c r="AQ13" i="2" s="1"/>
  <c r="E14" i="2"/>
  <c r="F14" i="2" s="1"/>
  <c r="G14" i="2" s="1"/>
  <c r="H14" i="2" s="1"/>
  <c r="I14" i="2"/>
  <c r="J14" i="2"/>
  <c r="K14" i="2"/>
  <c r="L14" i="2" s="1"/>
  <c r="M14" i="2" s="1"/>
  <c r="N14" i="2" s="1"/>
  <c r="O14" i="2" s="1"/>
  <c r="P14" i="2" s="1"/>
  <c r="Q14" i="2" s="1"/>
  <c r="R14" i="2" s="1"/>
  <c r="S14" i="2" s="1"/>
  <c r="T14" i="2" s="1"/>
  <c r="U14" i="2" s="1"/>
  <c r="V14" i="2" s="1"/>
  <c r="W14" i="2" s="1"/>
  <c r="X14" i="2" s="1"/>
  <c r="Y14" i="2" s="1"/>
  <c r="Z14" i="2" s="1"/>
  <c r="AA14" i="2" s="1"/>
  <c r="AB14" i="2" s="1"/>
  <c r="AC14" i="2" s="1"/>
  <c r="AD14" i="2" s="1"/>
  <c r="AE14" i="2" s="1"/>
  <c r="AF14" i="2" s="1"/>
  <c r="AG14" i="2" s="1"/>
  <c r="AH14" i="2" s="1"/>
  <c r="AI14" i="2" s="1"/>
  <c r="AJ14" i="2" s="1"/>
  <c r="AK14" i="2" s="1"/>
  <c r="AL14" i="2" s="1"/>
  <c r="AM14" i="2" s="1"/>
  <c r="AN14" i="2" s="1"/>
  <c r="AO14" i="2" s="1"/>
  <c r="AP14" i="2" s="1"/>
  <c r="AQ14" i="2" s="1"/>
  <c r="E15" i="2"/>
  <c r="F15" i="2"/>
  <c r="G15" i="2" s="1"/>
  <c r="H15" i="2"/>
  <c r="I15" i="2"/>
  <c r="J15" i="2" s="1"/>
  <c r="K15" i="2"/>
  <c r="L15" i="2" s="1"/>
  <c r="M15" i="2" s="1"/>
  <c r="N15" i="2"/>
  <c r="O15" i="2"/>
  <c r="P15" i="2" s="1"/>
  <c r="Q15" i="2" s="1"/>
  <c r="R15" i="2" s="1"/>
  <c r="S15" i="2" s="1"/>
  <c r="T15" i="2" s="1"/>
  <c r="U15" i="2" s="1"/>
  <c r="V15" i="2" s="1"/>
  <c r="W15" i="2" s="1"/>
  <c r="X15" i="2" s="1"/>
  <c r="Y15" i="2" s="1"/>
  <c r="Z15" i="2" s="1"/>
  <c r="AA15" i="2" s="1"/>
  <c r="AB15" i="2" s="1"/>
  <c r="AC15" i="2" s="1"/>
  <c r="AD15" i="2" s="1"/>
  <c r="AE15" i="2" s="1"/>
  <c r="AF15" i="2" s="1"/>
  <c r="AG15" i="2" s="1"/>
  <c r="AH15" i="2" s="1"/>
  <c r="AI15" i="2" s="1"/>
  <c r="AJ15" i="2" s="1"/>
  <c r="AK15" i="2" s="1"/>
  <c r="AL15" i="2" s="1"/>
  <c r="AM15" i="2" s="1"/>
  <c r="AN15" i="2" s="1"/>
  <c r="AO15" i="2" s="1"/>
  <c r="AP15" i="2" s="1"/>
  <c r="AQ15" i="2" s="1"/>
  <c r="E16" i="2"/>
  <c r="F16" i="2"/>
  <c r="G16" i="2" s="1"/>
  <c r="H16" i="2" s="1"/>
  <c r="I16" i="2" s="1"/>
  <c r="J16" i="2" s="1"/>
  <c r="K16" i="2"/>
  <c r="L16" i="2"/>
  <c r="M16" i="2" s="1"/>
  <c r="N16" i="2"/>
  <c r="O16" i="2"/>
  <c r="P16" i="2" s="1"/>
  <c r="Q16" i="2" s="1"/>
  <c r="R16" i="2" s="1"/>
  <c r="S16" i="2" s="1"/>
  <c r="T16" i="2" s="1"/>
  <c r="U16" i="2" s="1"/>
  <c r="V16" i="2" s="1"/>
  <c r="W16" i="2" s="1"/>
  <c r="X16" i="2" s="1"/>
  <c r="Y16" i="2" s="1"/>
  <c r="Z16" i="2" s="1"/>
  <c r="AA16" i="2" s="1"/>
  <c r="AB16" i="2" s="1"/>
  <c r="AC16" i="2" s="1"/>
  <c r="AD16" i="2" s="1"/>
  <c r="AE16" i="2" s="1"/>
  <c r="AF16" i="2" s="1"/>
  <c r="AG16" i="2" s="1"/>
  <c r="AH16" i="2" s="1"/>
  <c r="AI16" i="2" s="1"/>
  <c r="AJ16" i="2" s="1"/>
  <c r="AK16" i="2" s="1"/>
  <c r="AL16" i="2" s="1"/>
  <c r="AM16" i="2" s="1"/>
  <c r="AN16" i="2" s="1"/>
  <c r="AO16" i="2" s="1"/>
  <c r="AP16" i="2" s="1"/>
  <c r="AQ16" i="2" s="1"/>
  <c r="E17" i="2"/>
  <c r="F17" i="2"/>
  <c r="G17" i="2"/>
  <c r="H17" i="2" s="1"/>
  <c r="I17" i="2"/>
  <c r="J17" i="2" s="1"/>
  <c r="K17" i="2" s="1"/>
  <c r="L17" i="2" s="1"/>
  <c r="M17" i="2" s="1"/>
  <c r="N17" i="2" s="1"/>
  <c r="O17" i="2" s="1"/>
  <c r="P17" i="2" s="1"/>
  <c r="Q17" i="2" s="1"/>
  <c r="R17" i="2" s="1"/>
  <c r="S17" i="2" s="1"/>
  <c r="T17" i="2"/>
  <c r="U17" i="2"/>
  <c r="V17" i="2" s="1"/>
  <c r="W17" i="2" s="1"/>
  <c r="X17" i="2" s="1"/>
  <c r="Y17" i="2" s="1"/>
  <c r="Z17" i="2" s="1"/>
  <c r="AA17" i="2" s="1"/>
  <c r="AB17" i="2"/>
  <c r="AC17" i="2" s="1"/>
  <c r="AD17" i="2" s="1"/>
  <c r="AE17" i="2" s="1"/>
  <c r="AF17" i="2" s="1"/>
  <c r="AG17" i="2" s="1"/>
  <c r="AH17" i="2" s="1"/>
  <c r="AI17" i="2" s="1"/>
  <c r="AJ17" i="2" s="1"/>
  <c r="AK17" i="2" s="1"/>
  <c r="AL17" i="2" s="1"/>
  <c r="AM17" i="2" s="1"/>
  <c r="AN17" i="2" s="1"/>
  <c r="AO17" i="2" s="1"/>
  <c r="AP17" i="2" s="1"/>
  <c r="AQ17" i="2" s="1"/>
  <c r="E18" i="2"/>
  <c r="F18" i="2"/>
  <c r="G18" i="2"/>
  <c r="H18" i="2"/>
  <c r="I18" i="2"/>
  <c r="J18" i="2"/>
  <c r="K18" i="2" s="1"/>
  <c r="L18" i="2"/>
  <c r="M18" i="2" s="1"/>
  <c r="N18" i="2" s="1"/>
  <c r="O18" i="2" s="1"/>
  <c r="P18" i="2" s="1"/>
  <c r="Q18" i="2" s="1"/>
  <c r="R18" i="2" s="1"/>
  <c r="S18" i="2" s="1"/>
  <c r="T18" i="2" s="1"/>
  <c r="U18" i="2" s="1"/>
  <c r="V18" i="2" s="1"/>
  <c r="W18" i="2"/>
  <c r="X18" i="2"/>
  <c r="Y18" i="2" s="1"/>
  <c r="Z18" i="2" s="1"/>
  <c r="AA18" i="2" s="1"/>
  <c r="AB18" i="2" s="1"/>
  <c r="AC18" i="2" s="1"/>
  <c r="AD18" i="2" s="1"/>
  <c r="AE18" i="2"/>
  <c r="AF18" i="2" s="1"/>
  <c r="AG18" i="2" s="1"/>
  <c r="AH18" i="2" s="1"/>
  <c r="AI18" i="2" s="1"/>
  <c r="AJ18" i="2" s="1"/>
  <c r="AK18" i="2" s="1"/>
  <c r="AL18" i="2" s="1"/>
  <c r="AM18" i="2" s="1"/>
  <c r="AN18" i="2" s="1"/>
  <c r="AO18" i="2" s="1"/>
  <c r="AP18" i="2" s="1"/>
  <c r="AQ18" i="2" s="1"/>
  <c r="E19" i="2"/>
  <c r="F19" i="2"/>
  <c r="G19" i="2"/>
  <c r="H19" i="2" s="1"/>
  <c r="I19" i="2" s="1"/>
  <c r="J19" i="2" s="1"/>
  <c r="K19" i="2"/>
  <c r="L19" i="2" s="1"/>
  <c r="M19" i="2" s="1"/>
  <c r="N19" i="2" s="1"/>
  <c r="O19" i="2" s="1"/>
  <c r="P19" i="2" s="1"/>
  <c r="Q19" i="2" s="1"/>
  <c r="R19" i="2" s="1"/>
  <c r="S19" i="2" s="1"/>
  <c r="T19" i="2" s="1"/>
  <c r="U19" i="2" s="1"/>
  <c r="V19" i="2" s="1"/>
  <c r="W19" i="2" s="1"/>
  <c r="X19" i="2" s="1"/>
  <c r="Y19" i="2" s="1"/>
  <c r="Z19" i="2" s="1"/>
  <c r="AA19" i="2" s="1"/>
  <c r="AB19" i="2" s="1"/>
  <c r="AC19" i="2" s="1"/>
  <c r="AD19" i="2" s="1"/>
  <c r="AE19" i="2" s="1"/>
  <c r="AF19" i="2" s="1"/>
  <c r="AG19" i="2" s="1"/>
  <c r="AH19" i="2" s="1"/>
  <c r="AI19" i="2" s="1"/>
  <c r="AJ19" i="2" s="1"/>
  <c r="AK19" i="2" s="1"/>
  <c r="AL19" i="2" s="1"/>
  <c r="AM19" i="2" s="1"/>
  <c r="AN19" i="2" s="1"/>
  <c r="AO19" i="2" s="1"/>
  <c r="AP19" i="2" s="1"/>
  <c r="AQ19" i="2" s="1"/>
  <c r="E20" i="2"/>
  <c r="F20" i="2"/>
  <c r="G20" i="2"/>
  <c r="H20" i="2" s="1"/>
  <c r="I20" i="2"/>
  <c r="J20" i="2" s="1"/>
  <c r="K20" i="2" s="1"/>
  <c r="L20" i="2" s="1"/>
  <c r="M20" i="2"/>
  <c r="N20" i="2" s="1"/>
  <c r="O20" i="2" s="1"/>
  <c r="P20" i="2" s="1"/>
  <c r="Q20" i="2" s="1"/>
  <c r="R20" i="2" s="1"/>
  <c r="S20" i="2" s="1"/>
  <c r="T20" i="2" s="1"/>
  <c r="U20" i="2" s="1"/>
  <c r="V20" i="2" s="1"/>
  <c r="W20" i="2" s="1"/>
  <c r="X20" i="2" s="1"/>
  <c r="Y20" i="2" s="1"/>
  <c r="Z20" i="2" s="1"/>
  <c r="AA20" i="2" s="1"/>
  <c r="AB20" i="2" s="1"/>
  <c r="AC20" i="2" s="1"/>
  <c r="AD20" i="2" s="1"/>
  <c r="AE20" i="2" s="1"/>
  <c r="AF20" i="2" s="1"/>
  <c r="AG20" i="2" s="1"/>
  <c r="AH20" i="2" s="1"/>
  <c r="AI20" i="2" s="1"/>
  <c r="AJ20" i="2" s="1"/>
  <c r="AK20" i="2" s="1"/>
  <c r="AL20" i="2" s="1"/>
  <c r="AM20" i="2" s="1"/>
  <c r="AN20" i="2" s="1"/>
  <c r="AO20" i="2" s="1"/>
  <c r="AP20" i="2" s="1"/>
  <c r="AQ20" i="2" s="1"/>
  <c r="E21" i="2"/>
  <c r="F21" i="2" s="1"/>
  <c r="G21" i="2"/>
  <c r="H21" i="2" s="1"/>
  <c r="I21" i="2" s="1"/>
  <c r="J21" i="2"/>
  <c r="K21" i="2" s="1"/>
  <c r="L21" i="2"/>
  <c r="M21" i="2"/>
  <c r="N21" i="2" s="1"/>
  <c r="O21" i="2" s="1"/>
  <c r="P21" i="2" s="1"/>
  <c r="Q21" i="2" s="1"/>
  <c r="R21" i="2" s="1"/>
  <c r="S21" i="2" s="1"/>
  <c r="T21" i="2" s="1"/>
  <c r="U21" i="2" s="1"/>
  <c r="V21" i="2" s="1"/>
  <c r="W21" i="2" s="1"/>
  <c r="X21" i="2" s="1"/>
  <c r="Y21" i="2" s="1"/>
  <c r="Z21" i="2" s="1"/>
  <c r="AA21" i="2" s="1"/>
  <c r="AB21" i="2" s="1"/>
  <c r="AC21" i="2" s="1"/>
  <c r="AD21" i="2" s="1"/>
  <c r="AE21" i="2" s="1"/>
  <c r="AF21" i="2" s="1"/>
  <c r="AG21" i="2" s="1"/>
  <c r="AH21" i="2" s="1"/>
  <c r="AI21" i="2" s="1"/>
  <c r="AJ21" i="2" s="1"/>
  <c r="AK21" i="2" s="1"/>
  <c r="AL21" i="2" s="1"/>
  <c r="AM21" i="2" s="1"/>
  <c r="AN21" i="2" s="1"/>
  <c r="AO21" i="2" s="1"/>
  <c r="AP21" i="2" s="1"/>
  <c r="AQ21" i="2" s="1"/>
  <c r="E22" i="2"/>
  <c r="F22" i="2" s="1"/>
  <c r="G22" i="2" s="1"/>
  <c r="H22" i="2" s="1"/>
  <c r="I22" i="2" s="1"/>
  <c r="J22" i="2" s="1"/>
  <c r="K22" i="2" s="1"/>
  <c r="L22" i="2" s="1"/>
  <c r="M22" i="2" s="1"/>
  <c r="N22" i="2" s="1"/>
  <c r="O22" i="2" s="1"/>
  <c r="P22" i="2" s="1"/>
  <c r="Q22" i="2" s="1"/>
  <c r="R22" i="2" s="1"/>
  <c r="S22" i="2" s="1"/>
  <c r="T22" i="2" s="1"/>
  <c r="U22" i="2" s="1"/>
  <c r="V22" i="2" s="1"/>
  <c r="W22" i="2" s="1"/>
  <c r="X22" i="2" s="1"/>
  <c r="Y22" i="2" s="1"/>
  <c r="Z22" i="2" s="1"/>
  <c r="AA22" i="2" s="1"/>
  <c r="AB22" i="2" s="1"/>
  <c r="AC22" i="2" s="1"/>
  <c r="AD22" i="2" s="1"/>
  <c r="AE22" i="2" s="1"/>
  <c r="AF22" i="2" s="1"/>
  <c r="AG22" i="2" s="1"/>
  <c r="AH22" i="2" s="1"/>
  <c r="AI22" i="2" s="1"/>
  <c r="AJ22" i="2" s="1"/>
  <c r="AK22" i="2" s="1"/>
  <c r="AL22" i="2" s="1"/>
  <c r="AM22" i="2" s="1"/>
  <c r="AN22" i="2" s="1"/>
  <c r="AO22" i="2" s="1"/>
  <c r="AP22" i="2" s="1"/>
  <c r="AQ22" i="2" s="1"/>
  <c r="E23" i="2"/>
  <c r="F23" i="2" s="1"/>
  <c r="G23" i="2"/>
  <c r="H23" i="2"/>
  <c r="I23" i="2" s="1"/>
  <c r="J23" i="2" s="1"/>
  <c r="K23" i="2" s="1"/>
  <c r="L23" i="2" s="1"/>
  <c r="M23" i="2" s="1"/>
  <c r="N23" i="2" s="1"/>
  <c r="O23" i="2" s="1"/>
  <c r="P23" i="2" s="1"/>
  <c r="Q23" i="2" s="1"/>
  <c r="R23" i="2" s="1"/>
  <c r="S23" i="2" s="1"/>
  <c r="T23" i="2" s="1"/>
  <c r="U23" i="2" s="1"/>
  <c r="V23" i="2" s="1"/>
  <c r="W23" i="2" s="1"/>
  <c r="X23" i="2" s="1"/>
  <c r="Y23" i="2" s="1"/>
  <c r="Z23" i="2" s="1"/>
  <c r="AA23" i="2" s="1"/>
  <c r="AB23" i="2" s="1"/>
  <c r="AC23" i="2" s="1"/>
  <c r="AD23" i="2" s="1"/>
  <c r="AE23" i="2" s="1"/>
  <c r="AF23" i="2" s="1"/>
  <c r="AG23" i="2" s="1"/>
  <c r="AH23" i="2" s="1"/>
  <c r="AI23" i="2" s="1"/>
  <c r="AJ23" i="2" s="1"/>
  <c r="AK23" i="2" s="1"/>
  <c r="AL23" i="2" s="1"/>
  <c r="AM23" i="2" s="1"/>
  <c r="AN23" i="2" s="1"/>
  <c r="AO23" i="2" s="1"/>
  <c r="AP23" i="2" s="1"/>
  <c r="AQ23" i="2" s="1"/>
  <c r="E24" i="2"/>
  <c r="F24" i="2" s="1"/>
  <c r="G24" i="2" s="1"/>
  <c r="H24" i="2" s="1"/>
  <c r="I24" i="2" s="1"/>
  <c r="J24" i="2"/>
  <c r="K24" i="2"/>
  <c r="L24" i="2"/>
  <c r="M24" i="2"/>
  <c r="N24" i="2" s="1"/>
  <c r="O24" i="2" s="1"/>
  <c r="P24" i="2" s="1"/>
  <c r="Q24" i="2" s="1"/>
  <c r="R24" i="2" s="1"/>
  <c r="S24" i="2" s="1"/>
  <c r="T24" i="2" s="1"/>
  <c r="U24" i="2" s="1"/>
  <c r="V24" i="2" s="1"/>
  <c r="W24" i="2" s="1"/>
  <c r="X24" i="2" s="1"/>
  <c r="Y24" i="2"/>
  <c r="Z24" i="2" s="1"/>
  <c r="AA24" i="2" s="1"/>
  <c r="AB24" i="2" s="1"/>
  <c r="AC24" i="2" s="1"/>
  <c r="AD24" i="2" s="1"/>
  <c r="AE24" i="2" s="1"/>
  <c r="AF24" i="2" s="1"/>
  <c r="AG24" i="2" s="1"/>
  <c r="AH24" i="2" s="1"/>
  <c r="AI24" i="2" s="1"/>
  <c r="AJ24" i="2" s="1"/>
  <c r="AK24" i="2" s="1"/>
  <c r="AL24" i="2" s="1"/>
  <c r="AM24" i="2" s="1"/>
  <c r="AN24" i="2" s="1"/>
  <c r="AO24" i="2" s="1"/>
  <c r="AP24" i="2" s="1"/>
  <c r="AQ24" i="2" s="1"/>
  <c r="E25" i="2"/>
  <c r="F25" i="2" s="1"/>
  <c r="G25" i="2" s="1"/>
  <c r="H25" i="2"/>
  <c r="I25" i="2" s="1"/>
  <c r="J25" i="2" s="1"/>
  <c r="K25" i="2" s="1"/>
  <c r="L25" i="2" s="1"/>
  <c r="M25" i="2" s="1"/>
  <c r="N25" i="2" s="1"/>
  <c r="O25" i="2" s="1"/>
  <c r="P25" i="2" s="1"/>
  <c r="Q25" i="2" s="1"/>
  <c r="R25" i="2" s="1"/>
  <c r="S25" i="2" s="1"/>
  <c r="T25" i="2" s="1"/>
  <c r="U25" i="2" s="1"/>
  <c r="V25" i="2" s="1"/>
  <c r="W25" i="2" s="1"/>
  <c r="X25" i="2" s="1"/>
  <c r="Y25" i="2" s="1"/>
  <c r="Z25" i="2" s="1"/>
  <c r="AA25" i="2" s="1"/>
  <c r="AB25" i="2" s="1"/>
  <c r="AC25" i="2" s="1"/>
  <c r="AD25" i="2" s="1"/>
  <c r="AE25" i="2" s="1"/>
  <c r="AF25" i="2" s="1"/>
  <c r="AG25" i="2" s="1"/>
  <c r="AH25" i="2" s="1"/>
  <c r="AI25" i="2" s="1"/>
  <c r="AJ25" i="2" s="1"/>
  <c r="AK25" i="2" s="1"/>
  <c r="AL25" i="2" s="1"/>
  <c r="AM25" i="2" s="1"/>
  <c r="AN25" i="2" s="1"/>
  <c r="AO25" i="2" s="1"/>
  <c r="AP25" i="2" s="1"/>
  <c r="AQ25" i="2" s="1"/>
  <c r="E26" i="2"/>
  <c r="F26" i="2"/>
  <c r="G26" i="2" s="1"/>
  <c r="H26" i="2"/>
  <c r="I26" i="2" s="1"/>
  <c r="J26" i="2" s="1"/>
  <c r="K26" i="2"/>
  <c r="L26" i="2" s="1"/>
  <c r="M26" i="2"/>
  <c r="N26" i="2"/>
  <c r="O26" i="2" s="1"/>
  <c r="P26" i="2" s="1"/>
  <c r="Q26" i="2" s="1"/>
  <c r="R26" i="2"/>
  <c r="S26" i="2"/>
  <c r="T26" i="2"/>
  <c r="U26" i="2" s="1"/>
  <c r="V26" i="2"/>
  <c r="W26" i="2" s="1"/>
  <c r="X26" i="2" s="1"/>
  <c r="Y26" i="2" s="1"/>
  <c r="Z26" i="2" s="1"/>
  <c r="AA26" i="2" s="1"/>
  <c r="AB26" i="2" s="1"/>
  <c r="AC26" i="2" s="1"/>
  <c r="AD26" i="2" s="1"/>
  <c r="AE26" i="2" s="1"/>
  <c r="AF26" i="2" s="1"/>
  <c r="AG26" i="2" s="1"/>
  <c r="AH26" i="2" s="1"/>
  <c r="AI26" i="2" s="1"/>
  <c r="AJ26" i="2" s="1"/>
  <c r="AK26" i="2" s="1"/>
  <c r="AL26" i="2" s="1"/>
  <c r="AM26" i="2" s="1"/>
  <c r="AN26" i="2" s="1"/>
  <c r="AO26" i="2" s="1"/>
  <c r="AP26" i="2" s="1"/>
  <c r="AQ26" i="2" s="1"/>
  <c r="E27" i="2"/>
  <c r="F27" i="2"/>
  <c r="G27" i="2" s="1"/>
  <c r="H27" i="2" s="1"/>
  <c r="I27" i="2" s="1"/>
  <c r="J27" i="2" s="1"/>
  <c r="K27" i="2" s="1"/>
  <c r="L27" i="2" s="1"/>
  <c r="M27" i="2" s="1"/>
  <c r="N27" i="2" s="1"/>
  <c r="O27" i="2" s="1"/>
  <c r="P27" i="2" s="1"/>
  <c r="Q27" i="2"/>
  <c r="R27" i="2" s="1"/>
  <c r="S27" i="2" s="1"/>
  <c r="T27" i="2" s="1"/>
  <c r="U27" i="2" s="1"/>
  <c r="V27" i="2" s="1"/>
  <c r="W27" i="2" s="1"/>
  <c r="X27" i="2" s="1"/>
  <c r="Y27" i="2" s="1"/>
  <c r="Z27" i="2" s="1"/>
  <c r="AA27" i="2" s="1"/>
  <c r="AB27" i="2" s="1"/>
  <c r="AC27" i="2" s="1"/>
  <c r="AD27" i="2" s="1"/>
  <c r="AE27" i="2" s="1"/>
  <c r="AF27" i="2" s="1"/>
  <c r="AG27" i="2" s="1"/>
  <c r="AH27" i="2" s="1"/>
  <c r="AI27" i="2" s="1"/>
  <c r="AJ27" i="2" s="1"/>
  <c r="AK27" i="2" s="1"/>
  <c r="AL27" i="2" s="1"/>
  <c r="AM27" i="2" s="1"/>
  <c r="AN27" i="2" s="1"/>
  <c r="AO27" i="2" s="1"/>
  <c r="AP27" i="2" s="1"/>
  <c r="AQ27" i="2" s="1"/>
  <c r="E28" i="2"/>
  <c r="F28" i="2"/>
  <c r="G28" i="2" s="1"/>
  <c r="H28" i="2"/>
  <c r="I28" i="2"/>
  <c r="J28" i="2"/>
  <c r="K28" i="2" s="1"/>
  <c r="L28" i="2" s="1"/>
  <c r="M28" i="2" s="1"/>
  <c r="N28" i="2" s="1"/>
  <c r="O28" i="2" s="1"/>
  <c r="P28" i="2" s="1"/>
  <c r="Q28" i="2" s="1"/>
  <c r="R28" i="2" s="1"/>
  <c r="S28" i="2" s="1"/>
  <c r="T28" i="2" s="1"/>
  <c r="U28" i="2" s="1"/>
  <c r="V28" i="2"/>
  <c r="W28" i="2"/>
  <c r="X28" i="2" s="1"/>
  <c r="Y28" i="2" s="1"/>
  <c r="Z28" i="2" s="1"/>
  <c r="AA28" i="2" s="1"/>
  <c r="AB28" i="2" s="1"/>
  <c r="AC28" i="2" s="1"/>
  <c r="AD28" i="2" s="1"/>
  <c r="AE28" i="2" s="1"/>
  <c r="AF28" i="2" s="1"/>
  <c r="AG28" i="2" s="1"/>
  <c r="AH28" i="2" s="1"/>
  <c r="AI28" i="2" s="1"/>
  <c r="AJ28" i="2" s="1"/>
  <c r="AK28" i="2" s="1"/>
  <c r="AL28" i="2" s="1"/>
  <c r="AM28" i="2" s="1"/>
  <c r="AN28" i="2" s="1"/>
  <c r="AO28" i="2" s="1"/>
  <c r="AP28" i="2" s="1"/>
  <c r="AQ28" i="2" s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" i="2"/>
  <c r="AS166" i="2"/>
  <c r="AS167" i="2"/>
  <c r="AS168" i="2"/>
  <c r="AS169" i="2"/>
  <c r="AS170" i="2"/>
  <c r="AS171" i="2"/>
  <c r="AS172" i="2"/>
  <c r="AS173" i="2"/>
  <c r="AS174" i="2"/>
  <c r="AS175" i="2"/>
  <c r="AS176" i="2"/>
  <c r="AS177" i="2"/>
  <c r="AS178" i="2"/>
  <c r="AS179" i="2"/>
  <c r="AS180" i="2"/>
  <c r="AS181" i="2"/>
  <c r="AS182" i="2"/>
  <c r="AS183" i="2"/>
  <c r="AS184" i="2"/>
  <c r="AS185" i="2"/>
  <c r="AS186" i="2"/>
  <c r="AS187" i="2"/>
  <c r="AS188" i="2"/>
  <c r="AS189" i="2"/>
  <c r="AS190" i="2"/>
  <c r="AS165" i="2"/>
  <c r="AS164" i="2"/>
  <c r="AJ164" i="2"/>
  <c r="AK164" i="2"/>
  <c r="AL164" i="2"/>
  <c r="AM164" i="2" s="1"/>
  <c r="AN164" i="2" s="1"/>
  <c r="AO164" i="2" s="1"/>
  <c r="AP164" i="2" s="1"/>
  <c r="AQ164" i="2" s="1"/>
  <c r="AJ165" i="2"/>
  <c r="AK165" i="2"/>
  <c r="AL165" i="2"/>
  <c r="AM165" i="2"/>
  <c r="AN165" i="2"/>
  <c r="AO165" i="2"/>
  <c r="AP165" i="2" s="1"/>
  <c r="AQ165" i="2" s="1"/>
  <c r="AJ166" i="2"/>
  <c r="AK166" i="2" s="1"/>
  <c r="AL166" i="2" s="1"/>
  <c r="AM166" i="2" s="1"/>
  <c r="AN166" i="2" s="1"/>
  <c r="AO166" i="2" s="1"/>
  <c r="AP166" i="2" s="1"/>
  <c r="AQ166" i="2" s="1"/>
  <c r="AJ167" i="2"/>
  <c r="AK167" i="2"/>
  <c r="AL167" i="2"/>
  <c r="AM167" i="2"/>
  <c r="AN167" i="2" s="1"/>
  <c r="AO167" i="2" s="1"/>
  <c r="AP167" i="2" s="1"/>
  <c r="AQ167" i="2" s="1"/>
  <c r="AJ168" i="2"/>
  <c r="AK168" i="2" s="1"/>
  <c r="AL168" i="2" s="1"/>
  <c r="AM168" i="2" s="1"/>
  <c r="AN168" i="2" s="1"/>
  <c r="AO168" i="2" s="1"/>
  <c r="AP168" i="2" s="1"/>
  <c r="AQ168" i="2" s="1"/>
  <c r="AJ169" i="2"/>
  <c r="AK169" i="2"/>
  <c r="AL169" i="2" s="1"/>
  <c r="AM169" i="2" s="1"/>
  <c r="AN169" i="2" s="1"/>
  <c r="AO169" i="2" s="1"/>
  <c r="AP169" i="2" s="1"/>
  <c r="AQ169" i="2" s="1"/>
  <c r="AJ170" i="2"/>
  <c r="AK170" i="2"/>
  <c r="AL170" i="2"/>
  <c r="AM170" i="2"/>
  <c r="AN170" i="2"/>
  <c r="AO170" i="2"/>
  <c r="AP170" i="2"/>
  <c r="AQ170" i="2"/>
  <c r="AJ171" i="2"/>
  <c r="AK171" i="2"/>
  <c r="AL171" i="2"/>
  <c r="AM171" i="2" s="1"/>
  <c r="AN171" i="2" s="1"/>
  <c r="AO171" i="2" s="1"/>
  <c r="AP171" i="2" s="1"/>
  <c r="AQ171" i="2" s="1"/>
  <c r="AJ172" i="2"/>
  <c r="AK172" i="2"/>
  <c r="AL172" i="2"/>
  <c r="AM172" i="2"/>
  <c r="AN172" i="2"/>
  <c r="AO172" i="2" s="1"/>
  <c r="AP172" i="2" s="1"/>
  <c r="AQ172" i="2" s="1"/>
  <c r="AJ173" i="2"/>
  <c r="AK173" i="2" s="1"/>
  <c r="AL173" i="2" s="1"/>
  <c r="AM173" i="2" s="1"/>
  <c r="AN173" i="2" s="1"/>
  <c r="AO173" i="2" s="1"/>
  <c r="AP173" i="2" s="1"/>
  <c r="AQ173" i="2" s="1"/>
  <c r="AJ174" i="2"/>
  <c r="AK174" i="2"/>
  <c r="AL174" i="2"/>
  <c r="AM174" i="2" s="1"/>
  <c r="AN174" i="2" s="1"/>
  <c r="AO174" i="2" s="1"/>
  <c r="AP174" i="2" s="1"/>
  <c r="AQ174" i="2" s="1"/>
  <c r="AJ175" i="2"/>
  <c r="AK175" i="2" s="1"/>
  <c r="AL175" i="2" s="1"/>
  <c r="AM175" i="2" s="1"/>
  <c r="AN175" i="2" s="1"/>
  <c r="AO175" i="2" s="1"/>
  <c r="AP175" i="2" s="1"/>
  <c r="AQ175" i="2" s="1"/>
  <c r="AJ176" i="2"/>
  <c r="AK176" i="2" s="1"/>
  <c r="AL176" i="2" s="1"/>
  <c r="AM176" i="2" s="1"/>
  <c r="AN176" i="2" s="1"/>
  <c r="AO176" i="2" s="1"/>
  <c r="AP176" i="2" s="1"/>
  <c r="AQ176" i="2" s="1"/>
  <c r="AJ177" i="2"/>
  <c r="AK177" i="2"/>
  <c r="AL177" i="2"/>
  <c r="AM177" i="2"/>
  <c r="AN177" i="2"/>
  <c r="AO177" i="2"/>
  <c r="AP177" i="2"/>
  <c r="AQ177" i="2"/>
  <c r="AJ178" i="2"/>
  <c r="AK178" i="2"/>
  <c r="AL178" i="2"/>
  <c r="AM178" i="2" s="1"/>
  <c r="AN178" i="2" s="1"/>
  <c r="AO178" i="2" s="1"/>
  <c r="AP178" i="2" s="1"/>
  <c r="AQ178" i="2" s="1"/>
  <c r="AJ179" i="2"/>
  <c r="AK179" i="2"/>
  <c r="AL179" i="2"/>
  <c r="AM179" i="2"/>
  <c r="AN179" i="2"/>
  <c r="AO179" i="2"/>
  <c r="AP179" i="2" s="1"/>
  <c r="AQ179" i="2" s="1"/>
  <c r="AJ180" i="2"/>
  <c r="AK180" i="2" s="1"/>
  <c r="AL180" i="2" s="1"/>
  <c r="AM180" i="2" s="1"/>
  <c r="AN180" i="2" s="1"/>
  <c r="AO180" i="2" s="1"/>
  <c r="AP180" i="2" s="1"/>
  <c r="AQ180" i="2" s="1"/>
  <c r="AJ181" i="2"/>
  <c r="AK181" i="2"/>
  <c r="AL181" i="2"/>
  <c r="AM181" i="2"/>
  <c r="AN181" i="2" s="1"/>
  <c r="AO181" i="2" s="1"/>
  <c r="AP181" i="2" s="1"/>
  <c r="AQ181" i="2" s="1"/>
  <c r="AJ182" i="2"/>
  <c r="AK182" i="2" s="1"/>
  <c r="AL182" i="2" s="1"/>
  <c r="AM182" i="2" s="1"/>
  <c r="AN182" i="2" s="1"/>
  <c r="AO182" i="2" s="1"/>
  <c r="AP182" i="2" s="1"/>
  <c r="AQ182" i="2" s="1"/>
  <c r="AJ183" i="2"/>
  <c r="AK183" i="2"/>
  <c r="AL183" i="2" s="1"/>
  <c r="AM183" i="2" s="1"/>
  <c r="AN183" i="2" s="1"/>
  <c r="AO183" i="2" s="1"/>
  <c r="AP183" i="2" s="1"/>
  <c r="AQ183" i="2" s="1"/>
  <c r="AJ184" i="2"/>
  <c r="AK184" i="2"/>
  <c r="AL184" i="2"/>
  <c r="AM184" i="2"/>
  <c r="AN184" i="2"/>
  <c r="AO184" i="2"/>
  <c r="AP184" i="2"/>
  <c r="AQ184" i="2"/>
  <c r="AJ185" i="2"/>
  <c r="AK185" i="2"/>
  <c r="AL185" i="2"/>
  <c r="AM185" i="2" s="1"/>
  <c r="AN185" i="2" s="1"/>
  <c r="AO185" i="2" s="1"/>
  <c r="AP185" i="2" s="1"/>
  <c r="AQ185" i="2" s="1"/>
  <c r="AJ186" i="2"/>
  <c r="AK186" i="2"/>
  <c r="AL186" i="2"/>
  <c r="AM186" i="2"/>
  <c r="AN186" i="2"/>
  <c r="AO186" i="2"/>
  <c r="AP186" i="2" s="1"/>
  <c r="AQ186" i="2" s="1"/>
  <c r="AJ187" i="2"/>
  <c r="AK187" i="2" s="1"/>
  <c r="AL187" i="2" s="1"/>
  <c r="AM187" i="2" s="1"/>
  <c r="AN187" i="2" s="1"/>
  <c r="AO187" i="2" s="1"/>
  <c r="AP187" i="2" s="1"/>
  <c r="AQ187" i="2" s="1"/>
  <c r="AJ188" i="2"/>
  <c r="AK188" i="2"/>
  <c r="AL188" i="2"/>
  <c r="AM188" i="2"/>
  <c r="AN188" i="2" s="1"/>
  <c r="AO188" i="2" s="1"/>
  <c r="AP188" i="2" s="1"/>
  <c r="AQ188" i="2" s="1"/>
  <c r="AJ189" i="2"/>
  <c r="AK189" i="2" s="1"/>
  <c r="AL189" i="2" s="1"/>
  <c r="AM189" i="2" s="1"/>
  <c r="AN189" i="2" s="1"/>
  <c r="AO189" i="2" s="1"/>
  <c r="AP189" i="2" s="1"/>
  <c r="AQ189" i="2" s="1"/>
  <c r="AJ190" i="2"/>
  <c r="AK190" i="2"/>
  <c r="AL190" i="2" s="1"/>
  <c r="AM190" i="2" s="1"/>
  <c r="AN190" i="2" s="1"/>
  <c r="AO190" i="2" s="1"/>
  <c r="AP190" i="2" s="1"/>
  <c r="AQ190" i="2" s="1"/>
  <c r="E164" i="2"/>
  <c r="F164" i="2" s="1"/>
  <c r="G164" i="2" s="1"/>
  <c r="H164" i="2" s="1"/>
  <c r="I164" i="2" s="1"/>
  <c r="J164" i="2" s="1"/>
  <c r="K164" i="2" s="1"/>
  <c r="L164" i="2" s="1"/>
  <c r="M164" i="2" s="1"/>
  <c r="N164" i="2" s="1"/>
  <c r="O164" i="2" s="1"/>
  <c r="P164" i="2" s="1"/>
  <c r="Q164" i="2" s="1"/>
  <c r="R164" i="2" s="1"/>
  <c r="S164" i="2" s="1"/>
  <c r="T164" i="2" s="1"/>
  <c r="U164" i="2" s="1"/>
  <c r="V164" i="2" s="1"/>
  <c r="W164" i="2" s="1"/>
  <c r="X164" i="2" s="1"/>
  <c r="Y164" i="2" s="1"/>
  <c r="Z164" i="2" s="1"/>
  <c r="AA164" i="2" s="1"/>
  <c r="AB164" i="2" s="1"/>
  <c r="AC164" i="2" s="1"/>
  <c r="AD164" i="2" s="1"/>
  <c r="AE164" i="2" s="1"/>
  <c r="AF164" i="2" s="1"/>
  <c r="AG164" i="2" s="1"/>
  <c r="AH164" i="2" s="1"/>
  <c r="AI164" i="2" s="1"/>
  <c r="E165" i="2"/>
  <c r="F165" i="2"/>
  <c r="G165" i="2"/>
  <c r="H165" i="2"/>
  <c r="I165" i="2"/>
  <c r="J165" i="2" s="1"/>
  <c r="K165" i="2" s="1"/>
  <c r="L165" i="2" s="1"/>
  <c r="M165" i="2"/>
  <c r="N165" i="2"/>
  <c r="O165" i="2" s="1"/>
  <c r="P165" i="2" s="1"/>
  <c r="Q165" i="2" s="1"/>
  <c r="R165" i="2" s="1"/>
  <c r="S165" i="2" s="1"/>
  <c r="T165" i="2" s="1"/>
  <c r="U165" i="2" s="1"/>
  <c r="V165" i="2" s="1"/>
  <c r="W165" i="2" s="1"/>
  <c r="X165" i="2" s="1"/>
  <c r="Y165" i="2" s="1"/>
  <c r="Z165" i="2" s="1"/>
  <c r="AA165" i="2" s="1"/>
  <c r="AB165" i="2" s="1"/>
  <c r="AC165" i="2" s="1"/>
  <c r="AD165" i="2" s="1"/>
  <c r="AE165" i="2" s="1"/>
  <c r="AF165" i="2" s="1"/>
  <c r="AG165" i="2" s="1"/>
  <c r="AH165" i="2" s="1"/>
  <c r="AI165" i="2" s="1"/>
  <c r="E166" i="2"/>
  <c r="F166" i="2"/>
  <c r="G166" i="2" s="1"/>
  <c r="H166" i="2" s="1"/>
  <c r="I166" i="2" s="1"/>
  <c r="J166" i="2"/>
  <c r="K166" i="2"/>
  <c r="L166" i="2" s="1"/>
  <c r="M166" i="2" s="1"/>
  <c r="N166" i="2" s="1"/>
  <c r="O166" i="2" s="1"/>
  <c r="P166" i="2" s="1"/>
  <c r="Q166" i="2" s="1"/>
  <c r="R166" i="2" s="1"/>
  <c r="S166" i="2" s="1"/>
  <c r="T166" i="2" s="1"/>
  <c r="U166" i="2" s="1"/>
  <c r="V166" i="2" s="1"/>
  <c r="W166" i="2" s="1"/>
  <c r="X166" i="2" s="1"/>
  <c r="Y166" i="2" s="1"/>
  <c r="Z166" i="2" s="1"/>
  <c r="AA166" i="2" s="1"/>
  <c r="AB166" i="2" s="1"/>
  <c r="AC166" i="2" s="1"/>
  <c r="AD166" i="2" s="1"/>
  <c r="AE166" i="2" s="1"/>
  <c r="AF166" i="2" s="1"/>
  <c r="AG166" i="2" s="1"/>
  <c r="AH166" i="2" s="1"/>
  <c r="AI166" i="2" s="1"/>
  <c r="E167" i="2"/>
  <c r="F167" i="2" s="1"/>
  <c r="G167" i="2"/>
  <c r="H167" i="2" s="1"/>
  <c r="I167" i="2" s="1"/>
  <c r="J167" i="2" s="1"/>
  <c r="K167" i="2" s="1"/>
  <c r="L167" i="2" s="1"/>
  <c r="M167" i="2" s="1"/>
  <c r="N167" i="2" s="1"/>
  <c r="O167" i="2" s="1"/>
  <c r="P167" i="2" s="1"/>
  <c r="Q167" i="2" s="1"/>
  <c r="R167" i="2" s="1"/>
  <c r="S167" i="2" s="1"/>
  <c r="T167" i="2" s="1"/>
  <c r="U167" i="2" s="1"/>
  <c r="V167" i="2" s="1"/>
  <c r="W167" i="2" s="1"/>
  <c r="X167" i="2" s="1"/>
  <c r="Y167" i="2" s="1"/>
  <c r="Z167" i="2" s="1"/>
  <c r="AA167" i="2" s="1"/>
  <c r="AB167" i="2" s="1"/>
  <c r="AC167" i="2" s="1"/>
  <c r="AD167" i="2" s="1"/>
  <c r="AE167" i="2" s="1"/>
  <c r="AF167" i="2" s="1"/>
  <c r="AG167" i="2" s="1"/>
  <c r="AH167" i="2" s="1"/>
  <c r="AI167" i="2" s="1"/>
  <c r="E168" i="2"/>
  <c r="F168" i="2"/>
  <c r="G168" i="2"/>
  <c r="H168" i="2" s="1"/>
  <c r="I168" i="2" s="1"/>
  <c r="J168" i="2" s="1"/>
  <c r="K168" i="2" s="1"/>
  <c r="L168" i="2"/>
  <c r="M168" i="2"/>
  <c r="N168" i="2"/>
  <c r="O168" i="2" s="1"/>
  <c r="P168" i="2" s="1"/>
  <c r="Q168" i="2" s="1"/>
  <c r="R168" i="2" s="1"/>
  <c r="S168" i="2" s="1"/>
  <c r="T168" i="2" s="1"/>
  <c r="U168" i="2" s="1"/>
  <c r="V168" i="2" s="1"/>
  <c r="W168" i="2" s="1"/>
  <c r="X168" i="2" s="1"/>
  <c r="Y168" i="2" s="1"/>
  <c r="Z168" i="2" s="1"/>
  <c r="AA168" i="2" s="1"/>
  <c r="AB168" i="2" s="1"/>
  <c r="AC168" i="2" s="1"/>
  <c r="AD168" i="2" s="1"/>
  <c r="AE168" i="2" s="1"/>
  <c r="AF168" i="2" s="1"/>
  <c r="AG168" i="2" s="1"/>
  <c r="AH168" i="2" s="1"/>
  <c r="AI168" i="2" s="1"/>
  <c r="E169" i="2"/>
  <c r="F169" i="2" s="1"/>
  <c r="G169" i="2" s="1"/>
  <c r="H169" i="2" s="1"/>
  <c r="I169" i="2"/>
  <c r="J169" i="2"/>
  <c r="K169" i="2" s="1"/>
  <c r="L169" i="2" s="1"/>
  <c r="M169" i="2" s="1"/>
  <c r="N169" i="2" s="1"/>
  <c r="O169" i="2" s="1"/>
  <c r="P169" i="2" s="1"/>
  <c r="Q169" i="2" s="1"/>
  <c r="R169" i="2" s="1"/>
  <c r="S169" i="2" s="1"/>
  <c r="T169" i="2" s="1"/>
  <c r="U169" i="2" s="1"/>
  <c r="V169" i="2" s="1"/>
  <c r="W169" i="2" s="1"/>
  <c r="X169" i="2" s="1"/>
  <c r="Y169" i="2" s="1"/>
  <c r="Z169" i="2" s="1"/>
  <c r="AA169" i="2" s="1"/>
  <c r="AB169" i="2" s="1"/>
  <c r="AC169" i="2" s="1"/>
  <c r="AD169" i="2" s="1"/>
  <c r="AE169" i="2" s="1"/>
  <c r="AF169" i="2" s="1"/>
  <c r="AG169" i="2" s="1"/>
  <c r="AH169" i="2" s="1"/>
  <c r="AI169" i="2" s="1"/>
  <c r="E170" i="2"/>
  <c r="F170" i="2"/>
  <c r="G170" i="2" s="1"/>
  <c r="H170" i="2" s="1"/>
  <c r="I170" i="2" s="1"/>
  <c r="J170" i="2" s="1"/>
  <c r="K170" i="2" s="1"/>
  <c r="L170" i="2" s="1"/>
  <c r="M170" i="2" s="1"/>
  <c r="N170" i="2" s="1"/>
  <c r="O170" i="2" s="1"/>
  <c r="P170" i="2" s="1"/>
  <c r="Q170" i="2" s="1"/>
  <c r="R170" i="2" s="1"/>
  <c r="S170" i="2" s="1"/>
  <c r="T170" i="2" s="1"/>
  <c r="U170" i="2" s="1"/>
  <c r="V170" i="2" s="1"/>
  <c r="W170" i="2" s="1"/>
  <c r="X170" i="2" s="1"/>
  <c r="Y170" i="2" s="1"/>
  <c r="Z170" i="2" s="1"/>
  <c r="AA170" i="2" s="1"/>
  <c r="AB170" i="2" s="1"/>
  <c r="AC170" i="2" s="1"/>
  <c r="AD170" i="2" s="1"/>
  <c r="AE170" i="2" s="1"/>
  <c r="AF170" i="2" s="1"/>
  <c r="AG170" i="2" s="1"/>
  <c r="AH170" i="2" s="1"/>
  <c r="AI170" i="2" s="1"/>
  <c r="E171" i="2"/>
  <c r="F171" i="2" s="1"/>
  <c r="G171" i="2" s="1"/>
  <c r="H171" i="2" s="1"/>
  <c r="I171" i="2"/>
  <c r="J171" i="2"/>
  <c r="K171" i="2"/>
  <c r="L171" i="2"/>
  <c r="M171" i="2" s="1"/>
  <c r="N171" i="2" s="1"/>
  <c r="O171" i="2" s="1"/>
  <c r="P171" i="2" s="1"/>
  <c r="Q171" i="2"/>
  <c r="R171" i="2"/>
  <c r="S171" i="2" s="1"/>
  <c r="T171" i="2" s="1"/>
  <c r="U171" i="2" s="1"/>
  <c r="V171" i="2" s="1"/>
  <c r="W171" i="2" s="1"/>
  <c r="X171" i="2" s="1"/>
  <c r="Y171" i="2" s="1"/>
  <c r="Z171" i="2" s="1"/>
  <c r="AA171" i="2" s="1"/>
  <c r="AB171" i="2" s="1"/>
  <c r="AC171" i="2" s="1"/>
  <c r="AD171" i="2" s="1"/>
  <c r="AE171" i="2" s="1"/>
  <c r="AF171" i="2" s="1"/>
  <c r="AG171" i="2" s="1"/>
  <c r="AH171" i="2" s="1"/>
  <c r="AI171" i="2" s="1"/>
  <c r="E172" i="2"/>
  <c r="F172" i="2"/>
  <c r="G172" i="2"/>
  <c r="H172" i="2"/>
  <c r="I172" i="2"/>
  <c r="J172" i="2" s="1"/>
  <c r="K172" i="2" s="1"/>
  <c r="L172" i="2" s="1"/>
  <c r="M172" i="2" s="1"/>
  <c r="N172" i="2"/>
  <c r="O172" i="2" s="1"/>
  <c r="P172" i="2" s="1"/>
  <c r="Q172" i="2" s="1"/>
  <c r="R172" i="2" s="1"/>
  <c r="S172" i="2" s="1"/>
  <c r="T172" i="2" s="1"/>
  <c r="U172" i="2" s="1"/>
  <c r="V172" i="2" s="1"/>
  <c r="W172" i="2" s="1"/>
  <c r="X172" i="2" s="1"/>
  <c r="Y172" i="2" s="1"/>
  <c r="Z172" i="2" s="1"/>
  <c r="AA172" i="2" s="1"/>
  <c r="AB172" i="2" s="1"/>
  <c r="AC172" i="2" s="1"/>
  <c r="AD172" i="2" s="1"/>
  <c r="AE172" i="2" s="1"/>
  <c r="AF172" i="2" s="1"/>
  <c r="AG172" i="2" s="1"/>
  <c r="AH172" i="2" s="1"/>
  <c r="AI172" i="2" s="1"/>
  <c r="E173" i="2"/>
  <c r="F173" i="2"/>
  <c r="G173" i="2" s="1"/>
  <c r="H173" i="2" s="1"/>
  <c r="I173" i="2" s="1"/>
  <c r="J173" i="2" s="1"/>
  <c r="K173" i="2"/>
  <c r="L173" i="2" s="1"/>
  <c r="M173" i="2" s="1"/>
  <c r="N173" i="2" s="1"/>
  <c r="O173" i="2" s="1"/>
  <c r="P173" i="2" s="1"/>
  <c r="Q173" i="2" s="1"/>
  <c r="R173" i="2" s="1"/>
  <c r="S173" i="2" s="1"/>
  <c r="T173" i="2" s="1"/>
  <c r="U173" i="2" s="1"/>
  <c r="V173" i="2" s="1"/>
  <c r="W173" i="2" s="1"/>
  <c r="X173" i="2" s="1"/>
  <c r="Y173" i="2" s="1"/>
  <c r="Z173" i="2" s="1"/>
  <c r="AA173" i="2" s="1"/>
  <c r="AB173" i="2" s="1"/>
  <c r="AC173" i="2" s="1"/>
  <c r="AD173" i="2" s="1"/>
  <c r="AE173" i="2" s="1"/>
  <c r="AF173" i="2" s="1"/>
  <c r="AG173" i="2" s="1"/>
  <c r="AH173" i="2" s="1"/>
  <c r="AI173" i="2" s="1"/>
  <c r="E174" i="2"/>
  <c r="F174" i="2"/>
  <c r="G174" i="2"/>
  <c r="H174" i="2"/>
  <c r="I174" i="2"/>
  <c r="J174" i="2"/>
  <c r="K174" i="2" s="1"/>
  <c r="L174" i="2" s="1"/>
  <c r="M174" i="2" s="1"/>
  <c r="N174" i="2"/>
  <c r="O174" i="2" s="1"/>
  <c r="P174" i="2" s="1"/>
  <c r="Q174" i="2" s="1"/>
  <c r="R174" i="2" s="1"/>
  <c r="S174" i="2" s="1"/>
  <c r="T174" i="2" s="1"/>
  <c r="U174" i="2" s="1"/>
  <c r="V174" i="2" s="1"/>
  <c r="W174" i="2" s="1"/>
  <c r="X174" i="2" s="1"/>
  <c r="Y174" i="2" s="1"/>
  <c r="Z174" i="2" s="1"/>
  <c r="AA174" i="2" s="1"/>
  <c r="AB174" i="2" s="1"/>
  <c r="AC174" i="2" s="1"/>
  <c r="AD174" i="2" s="1"/>
  <c r="AE174" i="2" s="1"/>
  <c r="AF174" i="2" s="1"/>
  <c r="AG174" i="2" s="1"/>
  <c r="AH174" i="2" s="1"/>
  <c r="AI174" i="2" s="1"/>
  <c r="E175" i="2"/>
  <c r="F175" i="2"/>
  <c r="G175" i="2"/>
  <c r="H175" i="2" s="1"/>
  <c r="I175" i="2" s="1"/>
  <c r="J175" i="2" s="1"/>
  <c r="K175" i="2"/>
  <c r="L175" i="2" s="1"/>
  <c r="M175" i="2" s="1"/>
  <c r="N175" i="2" s="1"/>
  <c r="O175" i="2" s="1"/>
  <c r="P175" i="2" s="1"/>
  <c r="Q175" i="2" s="1"/>
  <c r="R175" i="2" s="1"/>
  <c r="S175" i="2" s="1"/>
  <c r="T175" i="2" s="1"/>
  <c r="U175" i="2" s="1"/>
  <c r="V175" i="2" s="1"/>
  <c r="W175" i="2" s="1"/>
  <c r="X175" i="2" s="1"/>
  <c r="Y175" i="2" s="1"/>
  <c r="Z175" i="2" s="1"/>
  <c r="AA175" i="2" s="1"/>
  <c r="AB175" i="2" s="1"/>
  <c r="AC175" i="2" s="1"/>
  <c r="AD175" i="2" s="1"/>
  <c r="AE175" i="2" s="1"/>
  <c r="AF175" i="2" s="1"/>
  <c r="AG175" i="2" s="1"/>
  <c r="AH175" i="2" s="1"/>
  <c r="AI175" i="2" s="1"/>
  <c r="E176" i="2"/>
  <c r="F176" i="2"/>
  <c r="G176" i="2" s="1"/>
  <c r="H176" i="2"/>
  <c r="I176" i="2"/>
  <c r="J176" i="2"/>
  <c r="K176" i="2"/>
  <c r="L176" i="2" s="1"/>
  <c r="M176" i="2" s="1"/>
  <c r="N176" i="2" s="1"/>
  <c r="O176" i="2" s="1"/>
  <c r="P176" i="2"/>
  <c r="Q176" i="2"/>
  <c r="R176" i="2"/>
  <c r="S176" i="2" s="1"/>
  <c r="T176" i="2" s="1"/>
  <c r="U176" i="2" s="1"/>
  <c r="V176" i="2" s="1"/>
  <c r="W176" i="2" s="1"/>
  <c r="X176" i="2" s="1"/>
  <c r="Y176" i="2" s="1"/>
  <c r="Z176" i="2" s="1"/>
  <c r="AA176" i="2" s="1"/>
  <c r="AB176" i="2" s="1"/>
  <c r="AC176" i="2" s="1"/>
  <c r="AD176" i="2" s="1"/>
  <c r="AE176" i="2" s="1"/>
  <c r="AF176" i="2" s="1"/>
  <c r="AG176" i="2" s="1"/>
  <c r="AH176" i="2" s="1"/>
  <c r="AI176" i="2" s="1"/>
  <c r="E177" i="2"/>
  <c r="F177" i="2"/>
  <c r="G177" i="2"/>
  <c r="H177" i="2"/>
  <c r="I177" i="2" s="1"/>
  <c r="J177" i="2" s="1"/>
  <c r="K177" i="2" s="1"/>
  <c r="L177" i="2" s="1"/>
  <c r="M177" i="2"/>
  <c r="N177" i="2"/>
  <c r="O177" i="2"/>
  <c r="P177" i="2" s="1"/>
  <c r="Q177" i="2" s="1"/>
  <c r="R177" i="2" s="1"/>
  <c r="S177" i="2" s="1"/>
  <c r="T177" i="2" s="1"/>
  <c r="U177" i="2" s="1"/>
  <c r="V177" i="2" s="1"/>
  <c r="W177" i="2" s="1"/>
  <c r="X177" i="2" s="1"/>
  <c r="Y177" i="2" s="1"/>
  <c r="Z177" i="2" s="1"/>
  <c r="AA177" i="2" s="1"/>
  <c r="AB177" i="2" s="1"/>
  <c r="AC177" i="2" s="1"/>
  <c r="AD177" i="2" s="1"/>
  <c r="AE177" i="2" s="1"/>
  <c r="AF177" i="2" s="1"/>
  <c r="AG177" i="2" s="1"/>
  <c r="AH177" i="2" s="1"/>
  <c r="AI177" i="2" s="1"/>
  <c r="E178" i="2"/>
  <c r="F178" i="2" s="1"/>
  <c r="G178" i="2" s="1"/>
  <c r="H178" i="2" s="1"/>
  <c r="I178" i="2" s="1"/>
  <c r="J178" i="2"/>
  <c r="K178" i="2" s="1"/>
  <c r="L178" i="2" s="1"/>
  <c r="M178" i="2" s="1"/>
  <c r="N178" i="2" s="1"/>
  <c r="O178" i="2" s="1"/>
  <c r="P178" i="2" s="1"/>
  <c r="Q178" i="2" s="1"/>
  <c r="R178" i="2" s="1"/>
  <c r="S178" i="2" s="1"/>
  <c r="T178" i="2" s="1"/>
  <c r="U178" i="2" s="1"/>
  <c r="V178" i="2" s="1"/>
  <c r="W178" i="2" s="1"/>
  <c r="X178" i="2" s="1"/>
  <c r="Y178" i="2" s="1"/>
  <c r="Z178" i="2" s="1"/>
  <c r="AA178" i="2" s="1"/>
  <c r="AB178" i="2" s="1"/>
  <c r="AC178" i="2" s="1"/>
  <c r="AD178" i="2" s="1"/>
  <c r="AE178" i="2" s="1"/>
  <c r="AF178" i="2" s="1"/>
  <c r="AG178" i="2" s="1"/>
  <c r="AH178" i="2" s="1"/>
  <c r="AI178" i="2" s="1"/>
  <c r="E179" i="2"/>
  <c r="F179" i="2"/>
  <c r="G179" i="2"/>
  <c r="H179" i="2"/>
  <c r="I179" i="2"/>
  <c r="J179" i="2" s="1"/>
  <c r="K179" i="2" s="1"/>
  <c r="L179" i="2" s="1"/>
  <c r="M179" i="2" s="1"/>
  <c r="N179" i="2" s="1"/>
  <c r="O179" i="2" s="1"/>
  <c r="P179" i="2" s="1"/>
  <c r="Q179" i="2" s="1"/>
  <c r="R179" i="2" s="1"/>
  <c r="S179" i="2" s="1"/>
  <c r="T179" i="2" s="1"/>
  <c r="U179" i="2" s="1"/>
  <c r="V179" i="2" s="1"/>
  <c r="W179" i="2" s="1"/>
  <c r="X179" i="2" s="1"/>
  <c r="Y179" i="2" s="1"/>
  <c r="Z179" i="2" s="1"/>
  <c r="AA179" i="2" s="1"/>
  <c r="AB179" i="2" s="1"/>
  <c r="AC179" i="2" s="1"/>
  <c r="AD179" i="2" s="1"/>
  <c r="AE179" i="2" s="1"/>
  <c r="AF179" i="2" s="1"/>
  <c r="AG179" i="2" s="1"/>
  <c r="AH179" i="2" s="1"/>
  <c r="AI179" i="2" s="1"/>
  <c r="E180" i="2"/>
  <c r="F180" i="2"/>
  <c r="G180" i="2" s="1"/>
  <c r="H180" i="2"/>
  <c r="I180" i="2" s="1"/>
  <c r="J180" i="2"/>
  <c r="K180" i="2"/>
  <c r="L180" i="2"/>
  <c r="M180" i="2"/>
  <c r="N180" i="2" s="1"/>
  <c r="O180" i="2" s="1"/>
  <c r="P180" i="2" s="1"/>
  <c r="Q180" i="2" s="1"/>
  <c r="R180" i="2"/>
  <c r="S180" i="2" s="1"/>
  <c r="T180" i="2" s="1"/>
  <c r="U180" i="2" s="1"/>
  <c r="V180" i="2" s="1"/>
  <c r="W180" i="2" s="1"/>
  <c r="X180" i="2" s="1"/>
  <c r="Y180" i="2" s="1"/>
  <c r="Z180" i="2" s="1"/>
  <c r="AA180" i="2" s="1"/>
  <c r="AB180" i="2" s="1"/>
  <c r="AC180" i="2" s="1"/>
  <c r="AD180" i="2" s="1"/>
  <c r="AE180" i="2" s="1"/>
  <c r="AF180" i="2" s="1"/>
  <c r="AG180" i="2" s="1"/>
  <c r="AH180" i="2" s="1"/>
  <c r="AI180" i="2" s="1"/>
  <c r="E181" i="2"/>
  <c r="F181" i="2" s="1"/>
  <c r="G181" i="2"/>
  <c r="H181" i="2"/>
  <c r="I181" i="2"/>
  <c r="J181" i="2" s="1"/>
  <c r="K181" i="2" s="1"/>
  <c r="L181" i="2" s="1"/>
  <c r="M181" i="2" s="1"/>
  <c r="N181" i="2" s="1"/>
  <c r="O181" i="2" s="1"/>
  <c r="P181" i="2" s="1"/>
  <c r="Q181" i="2" s="1"/>
  <c r="R181" i="2" s="1"/>
  <c r="S181" i="2" s="1"/>
  <c r="T181" i="2" s="1"/>
  <c r="U181" i="2" s="1"/>
  <c r="V181" i="2" s="1"/>
  <c r="W181" i="2" s="1"/>
  <c r="X181" i="2" s="1"/>
  <c r="Y181" i="2" s="1"/>
  <c r="Z181" i="2" s="1"/>
  <c r="AA181" i="2" s="1"/>
  <c r="AB181" i="2" s="1"/>
  <c r="AC181" i="2" s="1"/>
  <c r="AD181" i="2" s="1"/>
  <c r="AE181" i="2" s="1"/>
  <c r="AF181" i="2" s="1"/>
  <c r="AG181" i="2" s="1"/>
  <c r="AH181" i="2" s="1"/>
  <c r="AI181" i="2" s="1"/>
  <c r="E182" i="2"/>
  <c r="F182" i="2"/>
  <c r="G182" i="2"/>
  <c r="H182" i="2" s="1"/>
  <c r="I182" i="2" s="1"/>
  <c r="J182" i="2" s="1"/>
  <c r="K182" i="2" s="1"/>
  <c r="L182" i="2"/>
  <c r="M182" i="2"/>
  <c r="N182" i="2"/>
  <c r="O182" i="2" s="1"/>
  <c r="P182" i="2" s="1"/>
  <c r="Q182" i="2" s="1"/>
  <c r="R182" i="2" s="1"/>
  <c r="S182" i="2" s="1"/>
  <c r="T182" i="2" s="1"/>
  <c r="U182" i="2" s="1"/>
  <c r="V182" i="2" s="1"/>
  <c r="W182" i="2" s="1"/>
  <c r="X182" i="2" s="1"/>
  <c r="Y182" i="2" s="1"/>
  <c r="Z182" i="2" s="1"/>
  <c r="AA182" i="2" s="1"/>
  <c r="AB182" i="2" s="1"/>
  <c r="AC182" i="2" s="1"/>
  <c r="AD182" i="2" s="1"/>
  <c r="AE182" i="2" s="1"/>
  <c r="AF182" i="2" s="1"/>
  <c r="AG182" i="2" s="1"/>
  <c r="AH182" i="2" s="1"/>
  <c r="AI182" i="2" s="1"/>
  <c r="E183" i="2"/>
  <c r="F183" i="2" s="1"/>
  <c r="G183" i="2" s="1"/>
  <c r="H183" i="2" s="1"/>
  <c r="I183" i="2" s="1"/>
  <c r="J183" i="2" s="1"/>
  <c r="K183" i="2" s="1"/>
  <c r="L183" i="2" s="1"/>
  <c r="M183" i="2" s="1"/>
  <c r="N183" i="2" s="1"/>
  <c r="O183" i="2" s="1"/>
  <c r="P183" i="2" s="1"/>
  <c r="Q183" i="2" s="1"/>
  <c r="R183" i="2" s="1"/>
  <c r="S183" i="2" s="1"/>
  <c r="T183" i="2" s="1"/>
  <c r="U183" i="2" s="1"/>
  <c r="V183" i="2" s="1"/>
  <c r="W183" i="2" s="1"/>
  <c r="X183" i="2" s="1"/>
  <c r="Y183" i="2" s="1"/>
  <c r="Z183" i="2" s="1"/>
  <c r="AA183" i="2" s="1"/>
  <c r="AB183" i="2" s="1"/>
  <c r="AC183" i="2" s="1"/>
  <c r="AD183" i="2" s="1"/>
  <c r="AE183" i="2" s="1"/>
  <c r="AF183" i="2" s="1"/>
  <c r="AG183" i="2" s="1"/>
  <c r="AH183" i="2" s="1"/>
  <c r="AI183" i="2" s="1"/>
  <c r="E184" i="2"/>
  <c r="F184" i="2"/>
  <c r="G184" i="2"/>
  <c r="H184" i="2"/>
  <c r="I184" i="2" s="1"/>
  <c r="J184" i="2"/>
  <c r="K184" i="2" s="1"/>
  <c r="L184" i="2" s="1"/>
  <c r="M184" i="2" s="1"/>
  <c r="N184" i="2" s="1"/>
  <c r="O184" i="2" s="1"/>
  <c r="P184" i="2" s="1"/>
  <c r="Q184" i="2" s="1"/>
  <c r="R184" i="2" s="1"/>
  <c r="S184" i="2" s="1"/>
  <c r="T184" i="2" s="1"/>
  <c r="U184" i="2" s="1"/>
  <c r="V184" i="2" s="1"/>
  <c r="W184" i="2" s="1"/>
  <c r="X184" i="2" s="1"/>
  <c r="Y184" i="2" s="1"/>
  <c r="Z184" i="2" s="1"/>
  <c r="AA184" i="2" s="1"/>
  <c r="AB184" i="2" s="1"/>
  <c r="AC184" i="2" s="1"/>
  <c r="AD184" i="2" s="1"/>
  <c r="AE184" i="2" s="1"/>
  <c r="AF184" i="2" s="1"/>
  <c r="AG184" i="2" s="1"/>
  <c r="AH184" i="2" s="1"/>
  <c r="AI184" i="2" s="1"/>
  <c r="E185" i="2"/>
  <c r="F185" i="2" s="1"/>
  <c r="G185" i="2"/>
  <c r="H185" i="2" s="1"/>
  <c r="I185" i="2"/>
  <c r="J185" i="2"/>
  <c r="K185" i="2"/>
  <c r="L185" i="2" s="1"/>
  <c r="M185" i="2" s="1"/>
  <c r="N185" i="2" s="1"/>
  <c r="O185" i="2" s="1"/>
  <c r="P185" i="2" s="1"/>
  <c r="Q185" i="2" s="1"/>
  <c r="R185" i="2" s="1"/>
  <c r="S185" i="2" s="1"/>
  <c r="T185" i="2" s="1"/>
  <c r="U185" i="2" s="1"/>
  <c r="V185" i="2" s="1"/>
  <c r="W185" i="2" s="1"/>
  <c r="X185" i="2" s="1"/>
  <c r="Y185" i="2" s="1"/>
  <c r="Z185" i="2" s="1"/>
  <c r="AA185" i="2" s="1"/>
  <c r="AB185" i="2" s="1"/>
  <c r="AC185" i="2" s="1"/>
  <c r="AD185" i="2" s="1"/>
  <c r="AE185" i="2" s="1"/>
  <c r="AF185" i="2" s="1"/>
  <c r="AG185" i="2" s="1"/>
  <c r="AH185" i="2" s="1"/>
  <c r="AI185" i="2" s="1"/>
  <c r="E186" i="2"/>
  <c r="F186" i="2"/>
  <c r="G186" i="2"/>
  <c r="H186" i="2"/>
  <c r="I186" i="2"/>
  <c r="J186" i="2" s="1"/>
  <c r="K186" i="2" s="1"/>
  <c r="L186" i="2" s="1"/>
  <c r="M186" i="2"/>
  <c r="N186" i="2"/>
  <c r="O186" i="2" s="1"/>
  <c r="P186" i="2" s="1"/>
  <c r="Q186" i="2" s="1"/>
  <c r="R186" i="2" s="1"/>
  <c r="S186" i="2" s="1"/>
  <c r="T186" i="2" s="1"/>
  <c r="U186" i="2" s="1"/>
  <c r="V186" i="2" s="1"/>
  <c r="W186" i="2" s="1"/>
  <c r="X186" i="2" s="1"/>
  <c r="Y186" i="2" s="1"/>
  <c r="Z186" i="2" s="1"/>
  <c r="AA186" i="2" s="1"/>
  <c r="AB186" i="2" s="1"/>
  <c r="AC186" i="2" s="1"/>
  <c r="AD186" i="2" s="1"/>
  <c r="AE186" i="2" s="1"/>
  <c r="AF186" i="2" s="1"/>
  <c r="AG186" i="2" s="1"/>
  <c r="AH186" i="2" s="1"/>
  <c r="AI186" i="2" s="1"/>
  <c r="E187" i="2"/>
  <c r="F187" i="2"/>
  <c r="G187" i="2" s="1"/>
  <c r="H187" i="2" s="1"/>
  <c r="I187" i="2" s="1"/>
  <c r="J187" i="2"/>
  <c r="K187" i="2"/>
  <c r="L187" i="2"/>
  <c r="M187" i="2"/>
  <c r="N187" i="2" s="1"/>
  <c r="O187" i="2" s="1"/>
  <c r="P187" i="2" s="1"/>
  <c r="Q187" i="2" s="1"/>
  <c r="R187" i="2" s="1"/>
  <c r="S187" i="2" s="1"/>
  <c r="T187" i="2" s="1"/>
  <c r="U187" i="2" s="1"/>
  <c r="V187" i="2" s="1"/>
  <c r="W187" i="2" s="1"/>
  <c r="X187" i="2" s="1"/>
  <c r="Y187" i="2" s="1"/>
  <c r="Z187" i="2" s="1"/>
  <c r="AA187" i="2" s="1"/>
  <c r="AB187" i="2" s="1"/>
  <c r="AC187" i="2" s="1"/>
  <c r="AD187" i="2" s="1"/>
  <c r="AE187" i="2" s="1"/>
  <c r="AF187" i="2" s="1"/>
  <c r="AG187" i="2" s="1"/>
  <c r="AH187" i="2" s="1"/>
  <c r="AI187" i="2" s="1"/>
  <c r="E188" i="2"/>
  <c r="F188" i="2"/>
  <c r="G188" i="2"/>
  <c r="H188" i="2"/>
  <c r="I188" i="2"/>
  <c r="J188" i="2"/>
  <c r="K188" i="2" s="1"/>
  <c r="L188" i="2"/>
  <c r="M188" i="2" s="1"/>
  <c r="N188" i="2"/>
  <c r="O188" i="2" s="1"/>
  <c r="P188" i="2" s="1"/>
  <c r="Q188" i="2" s="1"/>
  <c r="R188" i="2" s="1"/>
  <c r="S188" i="2" s="1"/>
  <c r="T188" i="2" s="1"/>
  <c r="U188" i="2" s="1"/>
  <c r="V188" i="2" s="1"/>
  <c r="W188" i="2" s="1"/>
  <c r="X188" i="2" s="1"/>
  <c r="Y188" i="2" s="1"/>
  <c r="Z188" i="2" s="1"/>
  <c r="AA188" i="2" s="1"/>
  <c r="AB188" i="2" s="1"/>
  <c r="AC188" i="2" s="1"/>
  <c r="AD188" i="2" s="1"/>
  <c r="AE188" i="2" s="1"/>
  <c r="AF188" i="2" s="1"/>
  <c r="AG188" i="2" s="1"/>
  <c r="AH188" i="2" s="1"/>
  <c r="AI188" i="2" s="1"/>
  <c r="E189" i="2"/>
  <c r="F189" i="2" s="1"/>
  <c r="G189" i="2" s="1"/>
  <c r="H189" i="2" s="1"/>
  <c r="I189" i="2" s="1"/>
  <c r="J189" i="2" s="1"/>
  <c r="K189" i="2" s="1"/>
  <c r="L189" i="2" s="1"/>
  <c r="M189" i="2" s="1"/>
  <c r="N189" i="2" s="1"/>
  <c r="O189" i="2" s="1"/>
  <c r="P189" i="2" s="1"/>
  <c r="Q189" i="2" s="1"/>
  <c r="R189" i="2" s="1"/>
  <c r="S189" i="2" s="1"/>
  <c r="T189" i="2" s="1"/>
  <c r="U189" i="2" s="1"/>
  <c r="V189" i="2" s="1"/>
  <c r="W189" i="2" s="1"/>
  <c r="X189" i="2" s="1"/>
  <c r="Y189" i="2" s="1"/>
  <c r="Z189" i="2" s="1"/>
  <c r="AA189" i="2" s="1"/>
  <c r="AB189" i="2" s="1"/>
  <c r="AC189" i="2" s="1"/>
  <c r="AD189" i="2" s="1"/>
  <c r="AE189" i="2" s="1"/>
  <c r="AF189" i="2" s="1"/>
  <c r="AG189" i="2" s="1"/>
  <c r="AH189" i="2" s="1"/>
  <c r="AI189" i="2" s="1"/>
  <c r="E190" i="2"/>
  <c r="F190" i="2"/>
  <c r="G190" i="2" s="1"/>
  <c r="H190" i="2"/>
  <c r="I190" i="2"/>
  <c r="J190" i="2"/>
  <c r="K190" i="2"/>
  <c r="L190" i="2" s="1"/>
  <c r="M190" i="2" s="1"/>
  <c r="N190" i="2" s="1"/>
  <c r="O190" i="2"/>
  <c r="P190" i="2"/>
  <c r="Q190" i="2" s="1"/>
  <c r="R190" i="2" s="1"/>
  <c r="S190" i="2" s="1"/>
  <c r="T190" i="2" s="1"/>
  <c r="U190" i="2" s="1"/>
  <c r="V190" i="2" s="1"/>
  <c r="W190" i="2" s="1"/>
  <c r="X190" i="2" s="1"/>
  <c r="Y190" i="2" s="1"/>
  <c r="Z190" i="2" s="1"/>
  <c r="AA190" i="2" s="1"/>
  <c r="AB190" i="2" s="1"/>
  <c r="AC190" i="2" s="1"/>
  <c r="AD190" i="2" s="1"/>
  <c r="AE190" i="2" s="1"/>
  <c r="AF190" i="2" s="1"/>
  <c r="AG190" i="2" s="1"/>
  <c r="AH190" i="2" s="1"/>
  <c r="AI190" i="2" s="1"/>
  <c r="D185" i="2"/>
  <c r="D186" i="2"/>
  <c r="D187" i="2"/>
  <c r="D188" i="2"/>
  <c r="D189" i="2"/>
  <c r="D190" i="2"/>
  <c r="D184" i="2"/>
  <c r="D165" i="2"/>
  <c r="D166" i="2"/>
  <c r="D167" i="2"/>
  <c r="D168" i="2"/>
  <c r="D169" i="2"/>
  <c r="D170" i="2"/>
  <c r="D171" i="2"/>
  <c r="D172" i="2"/>
  <c r="D173" i="2"/>
  <c r="D174" i="2"/>
  <c r="D175" i="2"/>
  <c r="D176" i="2"/>
  <c r="D177" i="2"/>
  <c r="D178" i="2"/>
  <c r="D179" i="2"/>
  <c r="D180" i="2"/>
  <c r="D181" i="2"/>
  <c r="D182" i="2"/>
  <c r="D183" i="2"/>
  <c r="D164" i="2"/>
  <c r="N12" i="3"/>
  <c r="N13" i="3"/>
  <c r="N14" i="3"/>
  <c r="N15" i="3"/>
  <c r="N16" i="3"/>
  <c r="N17" i="3"/>
  <c r="N18" i="3"/>
  <c r="N19" i="3"/>
  <c r="N20" i="3"/>
  <c r="N21" i="3"/>
  <c r="N22" i="3"/>
  <c r="N23" i="3"/>
  <c r="N24" i="3"/>
  <c r="N25" i="3"/>
  <c r="N26" i="3"/>
  <c r="N27" i="3"/>
  <c r="N28" i="3"/>
  <c r="N29" i="3"/>
  <c r="N30" i="3"/>
  <c r="N31" i="3"/>
  <c r="N32" i="3"/>
  <c r="N33" i="3"/>
  <c r="N34" i="3"/>
  <c r="N35" i="3"/>
  <c r="N36" i="3"/>
  <c r="N37" i="3"/>
  <c r="N38" i="3"/>
  <c r="N39" i="3"/>
  <c r="L16" i="3"/>
  <c r="L30" i="3"/>
  <c r="L14" i="3"/>
  <c r="L17" i="3"/>
  <c r="L18" i="3"/>
  <c r="L22" i="3"/>
  <c r="L19" i="3"/>
  <c r="L25" i="3"/>
  <c r="L23" i="3"/>
  <c r="L38" i="3"/>
  <c r="L21" i="3"/>
  <c r="L15" i="3"/>
  <c r="L26" i="3"/>
  <c r="L27" i="3"/>
  <c r="L28" i="3"/>
  <c r="L29" i="3"/>
  <c r="L24" i="3"/>
  <c r="L31" i="3"/>
  <c r="L12" i="3"/>
  <c r="L33" i="3"/>
  <c r="L34" i="3"/>
  <c r="L35" i="3"/>
  <c r="L37" i="3"/>
  <c r="L36" i="3"/>
  <c r="L20" i="3"/>
  <c r="L39" i="3"/>
  <c r="L32" i="3"/>
  <c r="L13" i="3"/>
  <c r="B6" i="4" l="1"/>
  <c r="B7" i="4"/>
  <c r="G7" i="4" s="1"/>
  <c r="B12" i="4"/>
  <c r="E12" i="4" s="1"/>
  <c r="B9" i="4"/>
  <c r="F9" i="4" s="1"/>
  <c r="B21" i="4"/>
  <c r="G21" i="4" s="1"/>
  <c r="B23" i="4"/>
  <c r="D23" i="4" s="1"/>
  <c r="B8" i="4"/>
  <c r="F8" i="4" s="1"/>
  <c r="I28" i="4"/>
  <c r="I14" i="4"/>
  <c r="B22" i="4"/>
  <c r="E22" i="4" s="1"/>
  <c r="C21" i="4"/>
  <c r="B18" i="4"/>
  <c r="E18" i="4" s="1"/>
  <c r="B16" i="4"/>
  <c r="G16" i="4" s="1"/>
  <c r="H17" i="4"/>
  <c r="B3" i="4"/>
  <c r="H3" i="4" s="1"/>
  <c r="B2" i="4"/>
  <c r="E2" i="4" s="1"/>
  <c r="B28" i="4"/>
  <c r="D28" i="4" s="1"/>
  <c r="B14" i="4"/>
  <c r="F14" i="4" s="1"/>
  <c r="B17" i="4"/>
  <c r="I17" i="4" s="1"/>
  <c r="E10" i="4"/>
  <c r="D10" i="4"/>
  <c r="F12" i="4"/>
  <c r="H12" i="4"/>
  <c r="D12" i="4"/>
  <c r="H7" i="4"/>
  <c r="F7" i="4"/>
  <c r="F20" i="4"/>
  <c r="H20" i="4"/>
  <c r="G20" i="4"/>
  <c r="E26" i="4"/>
  <c r="G12" i="4"/>
  <c r="D9" i="4"/>
  <c r="C7" i="4"/>
  <c r="I26" i="4"/>
  <c r="H21" i="4"/>
  <c r="E7" i="4"/>
  <c r="D20" i="4"/>
  <c r="I24" i="4"/>
  <c r="E19" i="4"/>
  <c r="H26" i="4"/>
  <c r="D26" i="4"/>
  <c r="G26" i="4"/>
  <c r="H24" i="4"/>
  <c r="D19" i="4"/>
  <c r="F19" i="4"/>
  <c r="G19" i="4"/>
  <c r="I7" i="4"/>
  <c r="E24" i="4"/>
  <c r="D24" i="4"/>
  <c r="F26" i="4"/>
  <c r="F10" i="4"/>
  <c r="G10" i="4"/>
  <c r="H10" i="4"/>
  <c r="D5" i="4"/>
  <c r="G5" i="4"/>
  <c r="F5" i="4"/>
  <c r="I5" i="4"/>
  <c r="I10" i="4"/>
  <c r="E5" i="4"/>
  <c r="I20" i="4"/>
  <c r="H19" i="4"/>
  <c r="H5" i="4"/>
  <c r="F17" i="4"/>
  <c r="F24" i="4"/>
  <c r="I12" i="4"/>
  <c r="G24" i="4"/>
  <c r="H6" i="4"/>
  <c r="F6" i="4"/>
  <c r="G6" i="4"/>
  <c r="D6" i="4"/>
  <c r="E20" i="4"/>
  <c r="E6" i="4"/>
  <c r="I6" i="4"/>
  <c r="I19" i="4"/>
  <c r="G3" i="4"/>
  <c r="C26" i="4"/>
  <c r="B27" i="4"/>
  <c r="I27" i="4" s="1"/>
  <c r="B13" i="4"/>
  <c r="E13" i="4" s="1"/>
  <c r="C12" i="4"/>
  <c r="B25" i="4"/>
  <c r="B11" i="4"/>
  <c r="F11" i="4" s="1"/>
  <c r="C24" i="4"/>
  <c r="C10" i="4"/>
  <c r="D7" i="4"/>
  <c r="B15" i="4"/>
  <c r="I15" i="4" s="1"/>
  <c r="C20" i="4"/>
  <c r="C19" i="4"/>
  <c r="B4" i="4"/>
  <c r="G4" i="4" s="1"/>
  <c r="C3" i="4"/>
  <c r="C6" i="4"/>
  <c r="C5" i="4"/>
  <c r="H9" i="4" l="1"/>
  <c r="D17" i="4"/>
  <c r="C9" i="4"/>
  <c r="I13" i="4"/>
  <c r="G23" i="4"/>
  <c r="E21" i="4"/>
  <c r="D22" i="4"/>
  <c r="F15" i="4"/>
  <c r="D15" i="4"/>
  <c r="G15" i="4"/>
  <c r="C15" i="4"/>
  <c r="C17" i="4"/>
  <c r="E27" i="4"/>
  <c r="F22" i="4"/>
  <c r="G9" i="4"/>
  <c r="B6" i="5"/>
  <c r="B6" i="7" s="1"/>
  <c r="G11" i="4"/>
  <c r="G22" i="4"/>
  <c r="H22" i="4"/>
  <c r="D13" i="4"/>
  <c r="I23" i="4"/>
  <c r="I21" i="4"/>
  <c r="I22" i="4"/>
  <c r="E9" i="4"/>
  <c r="I9" i="4"/>
  <c r="F21" i="4"/>
  <c r="D21" i="4"/>
  <c r="B21" i="5" s="1"/>
  <c r="B21" i="7" s="1"/>
  <c r="E17" i="4"/>
  <c r="F18" i="4"/>
  <c r="D16" i="4"/>
  <c r="I18" i="4"/>
  <c r="E16" i="4"/>
  <c r="D18" i="4"/>
  <c r="B24" i="5"/>
  <c r="B24" i="7" s="1"/>
  <c r="B12" i="5"/>
  <c r="B12" i="7" s="1"/>
  <c r="C18" i="4"/>
  <c r="C4" i="4"/>
  <c r="F16" i="4"/>
  <c r="G18" i="4"/>
  <c r="G17" i="4"/>
  <c r="C22" i="4"/>
  <c r="H18" i="4"/>
  <c r="I16" i="4"/>
  <c r="C23" i="4"/>
  <c r="I8" i="4"/>
  <c r="H16" i="4"/>
  <c r="B10" i="5"/>
  <c r="B10" i="7" s="1"/>
  <c r="F27" i="4"/>
  <c r="B7" i="5"/>
  <c r="B7" i="7" s="1"/>
  <c r="H15" i="4"/>
  <c r="H8" i="4"/>
  <c r="G28" i="4"/>
  <c r="F28" i="4"/>
  <c r="H14" i="4"/>
  <c r="C11" i="4"/>
  <c r="B26" i="5"/>
  <c r="B26" i="7" s="1"/>
  <c r="H28" i="4"/>
  <c r="D8" i="4"/>
  <c r="B19" i="5"/>
  <c r="B19" i="7" s="1"/>
  <c r="E8" i="4"/>
  <c r="F3" i="4"/>
  <c r="G8" i="4"/>
  <c r="E28" i="4"/>
  <c r="C2" i="4"/>
  <c r="E23" i="4"/>
  <c r="D14" i="4"/>
  <c r="G14" i="4"/>
  <c r="C14" i="4"/>
  <c r="D2" i="4"/>
  <c r="I3" i="4"/>
  <c r="C28" i="4"/>
  <c r="E14" i="4"/>
  <c r="F2" i="4"/>
  <c r="C8" i="4"/>
  <c r="C13" i="4"/>
  <c r="E3" i="4"/>
  <c r="F23" i="4"/>
  <c r="G2" i="4"/>
  <c r="C27" i="4"/>
  <c r="H23" i="4"/>
  <c r="D3" i="4"/>
  <c r="F13" i="4"/>
  <c r="B20" i="5"/>
  <c r="B20" i="7" s="1"/>
  <c r="H2" i="4"/>
  <c r="C16" i="4"/>
  <c r="B5" i="5"/>
  <c r="B5" i="7" s="1"/>
  <c r="E15" i="4"/>
  <c r="I2" i="4"/>
  <c r="D4" i="4"/>
  <c r="F4" i="4"/>
  <c r="I4" i="4"/>
  <c r="E11" i="4"/>
  <c r="D11" i="4"/>
  <c r="I11" i="4"/>
  <c r="E25" i="4"/>
  <c r="D25" i="4"/>
  <c r="H25" i="4"/>
  <c r="H4" i="4"/>
  <c r="I25" i="4"/>
  <c r="G25" i="4"/>
  <c r="H11" i="4"/>
  <c r="E4" i="4"/>
  <c r="H13" i="4"/>
  <c r="G13" i="4"/>
  <c r="G27" i="4"/>
  <c r="H27" i="4"/>
  <c r="D27" i="4"/>
  <c r="F25" i="4"/>
  <c r="C25" i="4"/>
  <c r="B22" i="5" l="1"/>
  <c r="B22" i="7" s="1"/>
  <c r="B9" i="5"/>
  <c r="B9" i="7" s="1"/>
  <c r="B23" i="5"/>
  <c r="B23" i="7" s="1"/>
  <c r="B17" i="5"/>
  <c r="B17" i="7" s="1"/>
  <c r="B3" i="5"/>
  <c r="B3" i="7" s="1"/>
  <c r="B16" i="5"/>
  <c r="B16" i="7" s="1"/>
  <c r="B27" i="5"/>
  <c r="B27" i="7" s="1"/>
  <c r="B18" i="5"/>
  <c r="B18" i="7" s="1"/>
  <c r="B15" i="5"/>
  <c r="B15" i="7" s="1"/>
  <c r="B8" i="5"/>
  <c r="B8" i="7" s="1"/>
  <c r="B13" i="5"/>
  <c r="B13" i="7" s="1"/>
  <c r="B28" i="5"/>
  <c r="B28" i="7" s="1"/>
  <c r="B2" i="5"/>
  <c r="B2" i="7" s="1"/>
  <c r="B25" i="5"/>
  <c r="B25" i="7" s="1"/>
  <c r="B14" i="5"/>
  <c r="B14" i="7" s="1"/>
  <c r="B11" i="5"/>
  <c r="B11" i="7" s="1"/>
  <c r="B4" i="5"/>
  <c r="B4" i="7" s="1"/>
</calcChain>
</file>

<file path=xl/sharedStrings.xml><?xml version="1.0" encoding="utf-8"?>
<sst xmlns="http://schemas.openxmlformats.org/spreadsheetml/2006/main" count="1096" uniqueCount="110">
  <si>
    <t>Unit</t>
  </si>
  <si>
    <t>m2</t>
  </si>
  <si>
    <t>Sector</t>
  </si>
  <si>
    <t>Residential</t>
  </si>
  <si>
    <t>Service</t>
  </si>
  <si>
    <t>Construction period</t>
  </si>
  <si>
    <t>Country</t>
  </si>
  <si>
    <t>value</t>
  </si>
  <si>
    <t>0-1945</t>
  </si>
  <si>
    <t>Austria</t>
  </si>
  <si>
    <t>Belgium</t>
  </si>
  <si>
    <t>Bulgaria</t>
  </si>
  <si>
    <t>Croatia</t>
  </si>
  <si>
    <t>Cyprus</t>
  </si>
  <si>
    <t>Czechia</t>
  </si>
  <si>
    <t>Denmark</t>
  </si>
  <si>
    <t>Estonia</t>
  </si>
  <si>
    <t>Finland</t>
  </si>
  <si>
    <t>France</t>
  </si>
  <si>
    <t>Germany</t>
  </si>
  <si>
    <t>Greece</t>
  </si>
  <si>
    <t>Hungary</t>
  </si>
  <si>
    <t>Ireland</t>
  </si>
  <si>
    <t>Italy</t>
  </si>
  <si>
    <t>Latvia</t>
  </si>
  <si>
    <t>Lithuania</t>
  </si>
  <si>
    <t>Luxembourg</t>
  </si>
  <si>
    <t>Malta</t>
  </si>
  <si>
    <t>Netherlands</t>
  </si>
  <si>
    <t>Poland</t>
  </si>
  <si>
    <t>Portugal</t>
  </si>
  <si>
    <t>Romania</t>
  </si>
  <si>
    <t>Slovakia</t>
  </si>
  <si>
    <t>Slovenia</t>
  </si>
  <si>
    <t>Spain</t>
  </si>
  <si>
    <t>Sweden</t>
  </si>
  <si>
    <t>1946-1969</t>
  </si>
  <si>
    <t>1970-1979</t>
  </si>
  <si>
    <t>1980-1989</t>
  </si>
  <si>
    <t>1990-1999</t>
  </si>
  <si>
    <t>2000-2010</t>
  </si>
  <si>
    <t>2011-now</t>
  </si>
  <si>
    <t>Applied filters:
Year is not 2023
Country  is not  EU27
Subject is Useful floor area
Granularity 1 is Construction period
Granularity 2 is Sector</t>
  </si>
  <si>
    <t>2020</t>
  </si>
  <si>
    <t>Data extracted on 15/05/2026 16:24:28 from [ESTAT]</t>
  </si>
  <si>
    <t xml:space="preserve">Dataset: </t>
  </si>
  <si>
    <t>Building permits by type of building - annual data [sts_cobp_a__custom_21476067]</t>
  </si>
  <si>
    <t xml:space="preserve">Last updated: </t>
  </si>
  <si>
    <t>15/05/2026 11:00</t>
  </si>
  <si>
    <t>Time frequency</t>
  </si>
  <si>
    <t>Annual</t>
  </si>
  <si>
    <t>Business trend indicator</t>
  </si>
  <si>
    <t>Building permits - m2 of useful floor area</t>
  </si>
  <si>
    <t>Statistical Classification of Products by Activity (CPA 2.1)</t>
  </si>
  <si>
    <t>Buildings</t>
  </si>
  <si>
    <t>Seasonal adjustment</t>
  </si>
  <si>
    <t>Unadjusted data (i.e. neither seasonally adjusted nor calendar adjusted data)</t>
  </si>
  <si>
    <t>Unit of measure</t>
  </si>
  <si>
    <t>Million square metres</t>
  </si>
  <si>
    <t>TIME</t>
  </si>
  <si>
    <t>p</t>
  </si>
  <si>
    <t>i</t>
  </si>
  <si>
    <t>:</t>
  </si>
  <si>
    <t>e</t>
  </si>
  <si>
    <t>Norway</t>
  </si>
  <si>
    <t>Special value</t>
  </si>
  <si>
    <t>not available</t>
  </si>
  <si>
    <t>Observation flags:</t>
  </si>
  <si>
    <t>estimated</t>
  </si>
  <si>
    <t>value imputed by Eurostat or other receiving agencies</t>
  </si>
  <si>
    <t>provisional</t>
  </si>
  <si>
    <t>2021</t>
  </si>
  <si>
    <t>Column1</t>
  </si>
  <si>
    <t>2022</t>
  </si>
  <si>
    <t>Column2</t>
  </si>
  <si>
    <t>2023</t>
  </si>
  <si>
    <t>Column3</t>
  </si>
  <si>
    <t>2024</t>
  </si>
  <si>
    <t>Column4</t>
  </si>
  <si>
    <t>2025</t>
  </si>
  <si>
    <t>Column5</t>
  </si>
  <si>
    <t>Column7</t>
  </si>
  <si>
    <t>Column8</t>
  </si>
  <si>
    <t>Average 2021 - 2025</t>
  </si>
  <si>
    <t>gesamtfläche_m2</t>
  </si>
  <si>
    <t>anteil 0-1945</t>
  </si>
  <si>
    <t>anteil 1946-1969</t>
  </si>
  <si>
    <t>anteil 1970-1979</t>
  </si>
  <si>
    <t>anteil 1980-1989</t>
  </si>
  <si>
    <t>anteil 1990-1999</t>
  </si>
  <si>
    <t>anteil 2000-2010</t>
  </si>
  <si>
    <t>anteil 2011-now</t>
  </si>
  <si>
    <t>construction year</t>
  </si>
  <si>
    <t>Heat_spec_assumptions [kWh/m2]</t>
  </si>
  <si>
    <t>COP</t>
  </si>
  <si>
    <t>Country Category</t>
  </si>
  <si>
    <t xml:space="preserve">ES, PT, IT, GR, HR, SI </t>
  </si>
  <si>
    <t>FR, DE, AT, BE, NL, LU, IE</t>
  </si>
  <si>
    <t xml:space="preserve">PL, CZ, SK, HU, RO, BG </t>
  </si>
  <si>
    <t xml:space="preserve">SE, FI, NO, DK, EE, LV, LT </t>
  </si>
  <si>
    <t>BSO data</t>
  </si>
  <si>
    <t>The useful floor area per country as 2020 in m2 (Residential &amp; Service)</t>
  </si>
  <si>
    <t>heat_spec_distribution</t>
  </si>
  <si>
    <t>share of construction year in total floor area of a country, assumption for each construction year spec. Heat</t>
  </si>
  <si>
    <t>heat_demand_by_country_TWh</t>
  </si>
  <si>
    <t>the total heat demand of each country in TWh, calculated based on share of floor area in different construction years and their spec. Heat</t>
  </si>
  <si>
    <t>elec_demand_heating_TWh</t>
  </si>
  <si>
    <t xml:space="preserve">total electricity demand for heating in TWh, calculated from </t>
  </si>
  <si>
    <t xml:space="preserve">PL, CZ, SK, HR, RO, BG </t>
  </si>
  <si>
    <t xml:space="preserve">ES, PT, IT, GR, HU, SI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</si>
</sst>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##########"/>
    <numFmt numFmtId="165" formatCode="#,##0.0"/>
    <numFmt numFmtId="166" formatCode="0.000"/>
    <numFmt numFmtId="167" formatCode="0.0"/>
  </numFmts>
  <fonts count="8">
    <font>
      <sz val="12"/>
      <name val="Aptos Narrow"/>
    </font>
    <font>
      <sz val="9"/>
      <name val="Arial"/>
      <family val="2"/>
    </font>
    <font>
      <sz val="11"/>
      <color rgb="FF000000"/>
      <name val="Aptos Narrow"/>
      <family val="2"/>
    </font>
    <font>
      <b/>
      <sz val="9"/>
      <name val="Arial"/>
      <family val="2"/>
    </font>
    <font>
      <b/>
      <sz val="9"/>
      <color rgb="FFFFFFFF"/>
      <name val="Arial"/>
      <family val="2"/>
    </font>
    <font>
      <sz val="8"/>
      <name val="Aptos Narrow"/>
    </font>
    <font>
      <b/>
      <sz val="12"/>
      <name val="Aptos Narrow"/>
    </font>
    <font>
      <sz val="11"/>
      <name val="Aptos"/>
    </font>
  </fonts>
  <fills count="11">
    <fill>
      <patternFill patternType="none"/>
    </fill>
    <fill>
      <patternFill patternType="gray125"/>
    </fill>
    <fill>
      <patternFill patternType="solid">
        <fgColor rgb="FF4669AF"/>
        <bgColor rgb="FF000000"/>
      </patternFill>
    </fill>
    <fill>
      <patternFill patternType="solid">
        <fgColor rgb="FFDCE6F1"/>
        <bgColor rgb="FF000000"/>
      </patternFill>
    </fill>
    <fill>
      <patternFill patternType="solid">
        <fgColor rgb="FFF6F6F6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39997558519241921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B0B0B0"/>
      </left>
      <right/>
      <top style="thin">
        <color rgb="FFB0B0B0"/>
      </top>
      <bottom style="thin">
        <color rgb="FFB0B0B0"/>
      </bottom>
      <diagonal/>
    </border>
    <border>
      <left/>
      <right style="thin">
        <color rgb="FFB0B0B0"/>
      </right>
      <top/>
      <bottom style="thin">
        <color rgb="FFB0B0B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0" xfId="0" applyAlignment="1">
      <alignment vertical="top"/>
    </xf>
    <xf numFmtId="3" fontId="0" fillId="0" borderId="0" xfId="0" applyNumberFormat="1"/>
    <xf numFmtId="0" fontId="0" fillId="0" borderId="3" xfId="0" applyBorder="1" applyAlignment="1">
      <alignment vertical="top"/>
    </xf>
    <xf numFmtId="0" fontId="0" fillId="0" borderId="4" xfId="0" applyBorder="1"/>
    <xf numFmtId="3" fontId="0" fillId="0" borderId="3" xfId="0" applyNumberFormat="1" applyBorder="1"/>
    <xf numFmtId="0" fontId="0" fillId="0" borderId="3" xfId="0" applyBorder="1"/>
    <xf numFmtId="0" fontId="1" fillId="0" borderId="0" xfId="0" applyFont="1" applyAlignment="1">
      <alignment horizontal="left"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164" fontId="1" fillId="0" borderId="0" xfId="0" applyNumberFormat="1" applyFont="1" applyAlignment="1">
      <alignment horizontal="right" vertical="center" shrinkToFit="1"/>
    </xf>
    <xf numFmtId="3" fontId="1" fillId="0" borderId="0" xfId="0" applyNumberFormat="1" applyFont="1" applyAlignment="1">
      <alignment horizontal="right" vertical="center" shrinkToFit="1"/>
    </xf>
    <xf numFmtId="164" fontId="1" fillId="4" borderId="0" xfId="0" applyNumberFormat="1" applyFont="1" applyFill="1" applyAlignment="1">
      <alignment horizontal="right" vertical="center" shrinkToFit="1"/>
    </xf>
    <xf numFmtId="3" fontId="1" fillId="4" borderId="0" xfId="0" applyNumberFormat="1" applyFont="1" applyFill="1" applyAlignment="1">
      <alignment horizontal="right" vertical="center" shrinkToFit="1"/>
    </xf>
    <xf numFmtId="165" fontId="1" fillId="4" borderId="0" xfId="0" applyNumberFormat="1" applyFont="1" applyFill="1" applyAlignment="1">
      <alignment horizontal="right" vertical="center" shrinkToFit="1"/>
    </xf>
    <xf numFmtId="165" fontId="1" fillId="0" borderId="0" xfId="0" applyNumberFormat="1" applyFont="1" applyAlignment="1">
      <alignment horizontal="right" vertical="center" shrinkToFit="1"/>
    </xf>
    <xf numFmtId="164" fontId="0" fillId="0" borderId="0" xfId="0" applyNumberFormat="1"/>
    <xf numFmtId="0" fontId="4" fillId="2" borderId="6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left" vertical="center"/>
    </xf>
    <xf numFmtId="0" fontId="4" fillId="2" borderId="5" xfId="0" applyFont="1" applyFill="1" applyBorder="1" applyAlignment="1">
      <alignment horizontal="right" vertical="center"/>
    </xf>
    <xf numFmtId="0" fontId="3" fillId="3" borderId="7" xfId="0" applyFont="1" applyFill="1" applyBorder="1" applyAlignment="1">
      <alignment horizontal="left" vertical="center"/>
    </xf>
    <xf numFmtId="0" fontId="3" fillId="5" borderId="7" xfId="0" applyFont="1" applyFill="1" applyBorder="1" applyAlignment="1">
      <alignment horizontal="left" vertical="center"/>
    </xf>
    <xf numFmtId="164" fontId="1" fillId="5" borderId="0" xfId="0" applyNumberFormat="1" applyFont="1" applyFill="1" applyAlignment="1">
      <alignment horizontal="right" vertical="center" shrinkToFit="1"/>
    </xf>
    <xf numFmtId="3" fontId="1" fillId="5" borderId="0" xfId="0" applyNumberFormat="1" applyFont="1" applyFill="1" applyAlignment="1">
      <alignment horizontal="right" vertical="center" shrinkToFit="1"/>
    </xf>
    <xf numFmtId="164" fontId="0" fillId="6" borderId="0" xfId="0" applyNumberFormat="1" applyFill="1"/>
    <xf numFmtId="0" fontId="0" fillId="6" borderId="2" xfId="0" applyFill="1" applyBorder="1"/>
    <xf numFmtId="0" fontId="0" fillId="6" borderId="0" xfId="0" applyFill="1"/>
    <xf numFmtId="3" fontId="0" fillId="0" borderId="4" xfId="0" applyNumberFormat="1" applyBorder="1"/>
    <xf numFmtId="0" fontId="6" fillId="0" borderId="0" xfId="0" applyFont="1"/>
    <xf numFmtId="3" fontId="6" fillId="0" borderId="0" xfId="0" applyNumberFormat="1" applyFont="1"/>
    <xf numFmtId="0" fontId="6" fillId="0" borderId="8" xfId="0" applyFont="1" applyBorder="1"/>
    <xf numFmtId="0" fontId="0" fillId="0" borderId="8" xfId="0" applyBorder="1"/>
    <xf numFmtId="166" fontId="0" fillId="0" borderId="0" xfId="0" applyNumberFormat="1"/>
    <xf numFmtId="167" fontId="0" fillId="0" borderId="0" xfId="0" applyNumberFormat="1"/>
    <xf numFmtId="0" fontId="0" fillId="7" borderId="8" xfId="0" applyFill="1" applyBorder="1"/>
    <xf numFmtId="0" fontId="7" fillId="8" borderId="8" xfId="0" applyFont="1" applyFill="1" applyBorder="1"/>
    <xf numFmtId="0" fontId="0" fillId="8" borderId="8" xfId="0" applyFill="1" applyBorder="1"/>
    <xf numFmtId="0" fontId="7" fillId="9" borderId="8" xfId="0" applyFont="1" applyFill="1" applyBorder="1"/>
    <xf numFmtId="0" fontId="0" fillId="9" borderId="8" xfId="0" applyFill="1" applyBorder="1"/>
    <xf numFmtId="0" fontId="7" fillId="10" borderId="8" xfId="0" applyFont="1" applyFill="1" applyBorder="1"/>
    <xf numFmtId="0" fontId="0" fillId="10" borderId="8" xfId="0" applyFill="1" applyBorder="1"/>
    <xf numFmtId="0" fontId="0" fillId="7" borderId="2" xfId="0" applyFill="1" applyBorder="1"/>
    <xf numFmtId="3" fontId="6" fillId="7" borderId="0" xfId="0" applyNumberFormat="1" applyFont="1" applyFill="1"/>
    <xf numFmtId="166" fontId="0" fillId="7" borderId="0" xfId="0" applyNumberFormat="1" applyFill="1"/>
    <xf numFmtId="0" fontId="0" fillId="7" borderId="0" xfId="0" applyFill="1"/>
    <xf numFmtId="0" fontId="0" fillId="8" borderId="2" xfId="0" applyFill="1" applyBorder="1"/>
    <xf numFmtId="3" fontId="6" fillId="8" borderId="0" xfId="0" applyNumberFormat="1" applyFont="1" applyFill="1"/>
    <xf numFmtId="166" fontId="0" fillId="8" borderId="0" xfId="0" applyNumberFormat="1" applyFill="1"/>
    <xf numFmtId="0" fontId="0" fillId="8" borderId="0" xfId="0" applyFill="1"/>
    <xf numFmtId="0" fontId="0" fillId="9" borderId="2" xfId="0" applyFill="1" applyBorder="1"/>
    <xf numFmtId="3" fontId="6" fillId="9" borderId="0" xfId="0" applyNumberFormat="1" applyFont="1" applyFill="1"/>
    <xf numFmtId="166" fontId="0" fillId="9" borderId="0" xfId="0" applyNumberFormat="1" applyFill="1"/>
    <xf numFmtId="0" fontId="0" fillId="9" borderId="0" xfId="0" applyFill="1"/>
    <xf numFmtId="0" fontId="0" fillId="10" borderId="2" xfId="0" applyFill="1" applyBorder="1"/>
    <xf numFmtId="3" fontId="6" fillId="10" borderId="0" xfId="0" applyNumberFormat="1" applyFont="1" applyFill="1"/>
    <xf numFmtId="166" fontId="0" fillId="10" borderId="0" xfId="0" applyNumberFormat="1" applyFill="1"/>
    <xf numFmtId="0" fontId="0" fillId="10" borderId="0" xfId="0" applyFill="1"/>
    <xf numFmtId="167" fontId="0" fillId="7" borderId="0" xfId="0" applyNumberFormat="1" applyFill="1"/>
    <xf numFmtId="167" fontId="0" fillId="8" borderId="0" xfId="0" applyNumberFormat="1" applyFill="1"/>
    <xf numFmtId="167" fontId="0" fillId="10" borderId="0" xfId="0" applyNumberFormat="1" applyFill="1"/>
    <xf numFmtId="167" fontId="0" fillId="9" borderId="0" xfId="0" applyNumberFormat="1" applyFill="1"/>
    <xf numFmtId="0" fontId="0" fillId="0" borderId="0" xfId="0" applyAlignment="1">
      <alignment vertical="top"/>
    </xf>
    <xf numFmtId="0" fontId="0" fillId="0" borderId="0" xfId="0"/>
  </cellXfs>
  <cellStyles count="1">
    <cellStyle name="Normal" xfId="0" builtinId="0"/>
  </cellStyles>
  <dxfs count="11">
    <dxf>
      <numFmt numFmtId="0" formatCode="General"/>
    </dxf>
    <dxf>
      <border diagonalUp="0" diagonalDown="0">
        <left/>
        <right style="thin">
          <color auto="1"/>
        </right>
        <top/>
        <bottom/>
        <vertical/>
        <horizontal/>
      </border>
    </dxf>
    <dxf>
      <numFmt numFmtId="164" formatCode="#,##0.##########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rgb="FF000000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rgb="FF000000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rgb="FF000000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rgb="FF000000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3" formatCode="#,##0"/>
      <fill>
        <patternFill patternType="solid">
          <fgColor rgb="FF000000"/>
          <bgColor rgb="FFF6F6F6"/>
        </patternFill>
      </fill>
      <alignment horizontal="right" vertical="center" textRotation="0" wrapText="0" indent="0" justifyLastLine="0" shrinkToFit="1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numFmt numFmtId="164" formatCode="#,##0.##########"/>
      <fill>
        <patternFill patternType="solid">
          <fgColor rgb="FF000000"/>
          <bgColor rgb="FFF6F6F6"/>
        </patternFill>
      </fill>
      <alignment horizontal="right" vertical="center" textRotation="0" wrapText="0" indent="0" justifyLastLine="0" shrinkToFit="1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9"/>
        <color auto="1"/>
        <name val="Arial"/>
        <family val="2"/>
        <scheme val="none"/>
      </font>
      <fill>
        <patternFill patternType="solid">
          <fgColor rgb="FF000000"/>
          <bgColor rgb="FFDCE6F1"/>
        </patternFill>
      </fill>
      <alignment horizontal="left" vertical="center" textRotation="0" wrapText="0" indent="0" justifyLastLine="0" shrinkToFit="0" readingOrder="0"/>
      <border diagonalUp="0" diagonalDown="0">
        <left/>
        <right style="thin">
          <color rgb="FFB0B0B0"/>
        </right>
        <top/>
        <bottom style="thin">
          <color rgb="FFB0B0B0"/>
        </bottom>
        <vertical/>
        <horizontal/>
      </border>
    </dxf>
    <dxf>
      <border outline="0">
        <left style="thin">
          <color rgb="FFB0B0B0"/>
        </left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F4B3C-DC52-344B-B9D6-37F89E3D7230}" name="Table2" displayName="Table2" ref="A11:N39" totalsRowShown="0" tableBorderDxfId="10">
  <autoFilter ref="A11:N39" xr:uid="{D5DF4B3C-DC52-344B-B9D6-37F89E3D7230}"/>
  <sortState xmlns:xlrd2="http://schemas.microsoft.com/office/spreadsheetml/2017/richdata2" ref="A12:L39">
    <sortCondition ref="A11:A39"/>
  </sortState>
  <tableColumns count="14">
    <tableColumn id="1" xr3:uid="{B94DE7E0-B541-8047-AA98-950B185B4312}" name="TIME" dataDxfId="9"/>
    <tableColumn id="2" xr3:uid="{F6D4A83D-CA6B-0C49-8B1E-35683F342C82}" name="2021" dataDxfId="8"/>
    <tableColumn id="3" xr3:uid="{F939F23C-87ED-C041-9BBE-19503B7C1BA1}" name="Column1" dataDxfId="7"/>
    <tableColumn id="4" xr3:uid="{30179C0D-B7DF-2C41-8E0B-EF3E24F0D038}" name="2022"/>
    <tableColumn id="5" xr3:uid="{4EFF9DF6-2FA3-3E40-8F96-3D0B4C93AABD}" name="Column2" dataDxfId="6"/>
    <tableColumn id="6" xr3:uid="{33D06F1A-4159-9845-A506-6ED25ABEEF05}" name="2023"/>
    <tableColumn id="7" xr3:uid="{4CD4B181-9BBF-384B-BE1C-E106015FD1A3}" name="Column3" dataDxfId="5"/>
    <tableColumn id="8" xr3:uid="{047FDC4C-2F57-3D44-AC76-38058F9DF021}" name="2024"/>
    <tableColumn id="9" xr3:uid="{EA2FA399-6599-4C46-A877-3EAEAB2EA73F}" name="Column4" dataDxfId="4"/>
    <tableColumn id="10" xr3:uid="{9A78D01F-13A2-C742-8407-F5E78C7398A3}" name="2025"/>
    <tableColumn id="11" xr3:uid="{568111B3-03FE-8243-8F05-913C88FDFD80}" name="Column5" dataDxfId="3"/>
    <tableColumn id="12" xr3:uid="{F0F79975-A4D6-2942-A952-5CF1F67F41F8}" name="Average 2021 - 2025" dataDxfId="2">
      <calculatedColumnFormula>AVERAGE(B12,D12,F12,H12,J12)</calculatedColumnFormula>
    </tableColumn>
    <tableColumn id="13" xr3:uid="{6BF486E3-7513-4844-8950-51383A241850}" name="Column7" dataDxfId="1"/>
    <tableColumn id="14" xr3:uid="{5BC11B29-BD22-3E40-95D7-7208909EC531}" name="Column8" dataDxfId="0">
      <calculatedColumnFormula>Table2[[#This Row],[Column7]]=Table2[[#This Row],[TIME]]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BC5A54E-0262-964D-9894-7DC7AF41E2D3}" name="Table1" displayName="Table1" ref="A1:C1048576" totalsRowShown="0">
  <autoFilter ref="A1:C1048576" xr:uid="{CBC5A54E-0262-964D-9894-7DC7AF41E2D3}"/>
  <tableColumns count="3">
    <tableColumn id="1" xr3:uid="{EEA5BABE-43C1-0D44-A991-35A066110276}" name="Construction period"/>
    <tableColumn id="2" xr3:uid="{73356182-D2B9-304C-8229-54B83C41DE95}" name="Country"/>
    <tableColumn id="3" xr3:uid="{41500663-912C-FE4A-8A20-53CE21532E20}" name="202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A21ED1-C735-A84F-9FE3-7BF701E8E023}">
  <dimension ref="A1:B4"/>
  <sheetViews>
    <sheetView workbookViewId="0"/>
  </sheetViews>
  <sheetFormatPr baseColWidth="10" defaultRowHeight="16"/>
  <cols>
    <col min="1" max="1" width="26.6640625" bestFit="1" customWidth="1"/>
    <col min="2" max="2" width="58" bestFit="1" customWidth="1"/>
  </cols>
  <sheetData>
    <row r="1" spans="1:2">
      <c r="A1" t="s">
        <v>100</v>
      </c>
      <c r="B1" t="s">
        <v>101</v>
      </c>
    </row>
    <row r="2" spans="1:2">
      <c r="A2" t="s">
        <v>102</v>
      </c>
      <c r="B2" t="s">
        <v>103</v>
      </c>
    </row>
    <row r="3" spans="1:2">
      <c r="A3" t="s">
        <v>104</v>
      </c>
      <c r="B3" t="s">
        <v>105</v>
      </c>
    </row>
    <row r="4" spans="1:2">
      <c r="A4" t="s">
        <v>106</v>
      </c>
      <c r="B4" t="s">
        <v>107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4"/>
  <sheetViews>
    <sheetView workbookViewId="0">
      <selection activeCell="F7" sqref="F7"/>
    </sheetView>
  </sheetViews>
  <sheetFormatPr baseColWidth="10" defaultRowHeight="16"/>
  <cols>
    <col min="5" max="5" width="19" customWidth="1"/>
  </cols>
  <sheetData>
    <row r="1" spans="1:5">
      <c r="A1" s="63" t="s">
        <v>0</v>
      </c>
      <c r="B1" s="64"/>
      <c r="C1" s="63" t="s">
        <v>1</v>
      </c>
      <c r="D1" s="63" t="s">
        <v>1</v>
      </c>
    </row>
    <row r="2" spans="1:5">
      <c r="A2" s="63" t="s">
        <v>2</v>
      </c>
      <c r="B2" s="64"/>
      <c r="C2" s="3" t="s">
        <v>3</v>
      </c>
      <c r="D2" s="3" t="s">
        <v>4</v>
      </c>
    </row>
    <row r="3" spans="1:5">
      <c r="A3" s="1" t="s">
        <v>5</v>
      </c>
      <c r="B3" s="1" t="s">
        <v>6</v>
      </c>
      <c r="C3" s="1" t="s">
        <v>7</v>
      </c>
      <c r="D3" s="1" t="s">
        <v>7</v>
      </c>
    </row>
    <row r="4" spans="1:5">
      <c r="A4" s="63" t="s">
        <v>8</v>
      </c>
      <c r="B4" s="2" t="s">
        <v>9</v>
      </c>
      <c r="C4" s="4">
        <v>108909872</v>
      </c>
      <c r="D4" s="4">
        <v>18729410</v>
      </c>
      <c r="E4" s="4">
        <f>SUM(C4)</f>
        <v>108909872</v>
      </c>
    </row>
    <row r="5" spans="1:5">
      <c r="A5" s="63" t="s">
        <v>8</v>
      </c>
      <c r="B5" s="2" t="s">
        <v>10</v>
      </c>
      <c r="C5" s="4">
        <v>285731747</v>
      </c>
      <c r="D5" s="4">
        <v>93229643</v>
      </c>
      <c r="E5" s="4">
        <f t="shared" ref="E5:E68" si="0">SUM(C5)</f>
        <v>285731747</v>
      </c>
    </row>
    <row r="6" spans="1:5">
      <c r="A6" s="63" t="s">
        <v>8</v>
      </c>
      <c r="B6" s="2" t="s">
        <v>11</v>
      </c>
      <c r="C6" s="4">
        <v>66932083</v>
      </c>
      <c r="D6" s="4">
        <v>18336880</v>
      </c>
      <c r="E6" s="4">
        <f t="shared" si="0"/>
        <v>66932083</v>
      </c>
    </row>
    <row r="7" spans="1:5">
      <c r="A7" s="63" t="s">
        <v>8</v>
      </c>
      <c r="B7" s="2" t="s">
        <v>12</v>
      </c>
      <c r="C7" s="4">
        <v>23713301</v>
      </c>
      <c r="D7" s="4">
        <v>5442954</v>
      </c>
      <c r="E7" s="4">
        <f t="shared" si="0"/>
        <v>23713301</v>
      </c>
    </row>
    <row r="8" spans="1:5">
      <c r="A8" s="63" t="s">
        <v>8</v>
      </c>
      <c r="B8" s="2" t="s">
        <v>13</v>
      </c>
      <c r="C8" s="4">
        <v>7245195</v>
      </c>
      <c r="D8" s="4">
        <v>9759724</v>
      </c>
      <c r="E8" s="4">
        <f t="shared" si="0"/>
        <v>7245195</v>
      </c>
    </row>
    <row r="9" spans="1:5">
      <c r="A9" s="63" t="s">
        <v>8</v>
      </c>
      <c r="B9" s="2" t="s">
        <v>14</v>
      </c>
      <c r="C9" s="4">
        <v>69149239</v>
      </c>
      <c r="D9" s="4">
        <v>81621975</v>
      </c>
      <c r="E9" s="4">
        <f t="shared" si="0"/>
        <v>69149239</v>
      </c>
    </row>
    <row r="10" spans="1:5">
      <c r="A10" s="63" t="s">
        <v>8</v>
      </c>
      <c r="B10" s="2" t="s">
        <v>15</v>
      </c>
      <c r="C10" s="4">
        <v>70528445</v>
      </c>
      <c r="D10" s="4">
        <v>15879767</v>
      </c>
      <c r="E10" s="4">
        <f t="shared" si="0"/>
        <v>70528445</v>
      </c>
    </row>
    <row r="11" spans="1:5">
      <c r="A11" s="63" t="s">
        <v>8</v>
      </c>
      <c r="B11" s="2" t="s">
        <v>16</v>
      </c>
      <c r="C11" s="4">
        <v>9082825</v>
      </c>
      <c r="D11" s="4">
        <v>2820744</v>
      </c>
      <c r="E11" s="4">
        <f t="shared" si="0"/>
        <v>9082825</v>
      </c>
    </row>
    <row r="12" spans="1:5">
      <c r="A12" s="63" t="s">
        <v>8</v>
      </c>
      <c r="B12" s="2" t="s">
        <v>17</v>
      </c>
      <c r="C12" s="4">
        <v>59734692</v>
      </c>
      <c r="D12" s="4">
        <v>12895469</v>
      </c>
      <c r="E12" s="4">
        <f t="shared" si="0"/>
        <v>59734692</v>
      </c>
    </row>
    <row r="13" spans="1:5">
      <c r="A13" s="63" t="s">
        <v>8</v>
      </c>
      <c r="B13" s="2" t="s">
        <v>18</v>
      </c>
      <c r="C13" s="4">
        <v>563983513</v>
      </c>
      <c r="D13" s="4">
        <v>433418907</v>
      </c>
      <c r="E13" s="4">
        <f t="shared" si="0"/>
        <v>563983513</v>
      </c>
    </row>
    <row r="14" spans="1:5">
      <c r="A14" s="63" t="s">
        <v>8</v>
      </c>
      <c r="B14" s="2" t="s">
        <v>19</v>
      </c>
      <c r="C14" s="4">
        <v>814782438</v>
      </c>
      <c r="D14" s="4">
        <v>347880057</v>
      </c>
      <c r="E14" s="4">
        <f t="shared" si="0"/>
        <v>814782438</v>
      </c>
    </row>
    <row r="15" spans="1:5">
      <c r="A15" s="63" t="s">
        <v>8</v>
      </c>
      <c r="B15" s="2" t="s">
        <v>20</v>
      </c>
      <c r="C15" s="4">
        <v>46846238</v>
      </c>
      <c r="D15" s="4">
        <v>43072893</v>
      </c>
      <c r="E15" s="4">
        <f t="shared" si="0"/>
        <v>46846238</v>
      </c>
    </row>
    <row r="16" spans="1:5">
      <c r="A16" s="63" t="s">
        <v>8</v>
      </c>
      <c r="B16" s="2" t="s">
        <v>21</v>
      </c>
      <c r="C16" s="4">
        <v>62287371</v>
      </c>
      <c r="D16" s="4">
        <v>28711489</v>
      </c>
      <c r="E16" s="4">
        <f t="shared" si="0"/>
        <v>62287371</v>
      </c>
    </row>
    <row r="17" spans="1:5">
      <c r="A17" s="63" t="s">
        <v>8</v>
      </c>
      <c r="B17" s="2" t="s">
        <v>22</v>
      </c>
      <c r="C17" s="4">
        <v>35166847</v>
      </c>
      <c r="D17" s="4">
        <v>2586102</v>
      </c>
      <c r="E17" s="4">
        <f t="shared" si="0"/>
        <v>35166847</v>
      </c>
    </row>
    <row r="18" spans="1:5">
      <c r="A18" s="63" t="s">
        <v>8</v>
      </c>
      <c r="B18" s="2" t="s">
        <v>23</v>
      </c>
      <c r="C18" s="4">
        <v>535773501</v>
      </c>
      <c r="D18" s="4">
        <v>163701784</v>
      </c>
      <c r="E18" s="4">
        <f t="shared" si="0"/>
        <v>535773501</v>
      </c>
    </row>
    <row r="19" spans="1:5">
      <c r="A19" s="63" t="s">
        <v>8</v>
      </c>
      <c r="B19" s="2" t="s">
        <v>24</v>
      </c>
      <c r="C19" s="4">
        <v>15401407</v>
      </c>
      <c r="D19" s="4">
        <v>3175993</v>
      </c>
      <c r="E19" s="4">
        <f t="shared" si="0"/>
        <v>15401407</v>
      </c>
    </row>
    <row r="20" spans="1:5">
      <c r="A20" s="63" t="s">
        <v>8</v>
      </c>
      <c r="B20" s="2" t="s">
        <v>25</v>
      </c>
      <c r="C20" s="4">
        <v>22554183</v>
      </c>
      <c r="D20" s="4">
        <v>5569843</v>
      </c>
      <c r="E20" s="4">
        <f t="shared" si="0"/>
        <v>22554183</v>
      </c>
    </row>
    <row r="21" spans="1:5">
      <c r="A21" s="63" t="s">
        <v>8</v>
      </c>
      <c r="B21" s="2" t="s">
        <v>26</v>
      </c>
      <c r="C21" s="4">
        <v>7345977</v>
      </c>
      <c r="D21" s="4">
        <v>3424847</v>
      </c>
      <c r="E21" s="4">
        <f t="shared" si="0"/>
        <v>7345977</v>
      </c>
    </row>
    <row r="22" spans="1:5">
      <c r="A22" s="63" t="s">
        <v>8</v>
      </c>
      <c r="B22" s="2" t="s">
        <v>27</v>
      </c>
      <c r="C22" s="4">
        <v>5385667</v>
      </c>
      <c r="D22" s="4">
        <v>922394</v>
      </c>
      <c r="E22" s="4">
        <f t="shared" si="0"/>
        <v>5385667</v>
      </c>
    </row>
    <row r="23" spans="1:5">
      <c r="A23" s="63" t="s">
        <v>8</v>
      </c>
      <c r="B23" s="2" t="s">
        <v>28</v>
      </c>
      <c r="C23" s="4">
        <v>160678284</v>
      </c>
      <c r="D23" s="4">
        <v>159019299</v>
      </c>
      <c r="E23" s="4">
        <f t="shared" si="0"/>
        <v>160678284</v>
      </c>
    </row>
    <row r="24" spans="1:5">
      <c r="A24" s="63" t="s">
        <v>8</v>
      </c>
      <c r="B24" s="2" t="s">
        <v>29</v>
      </c>
      <c r="C24" s="4">
        <v>165463102</v>
      </c>
      <c r="D24" s="4">
        <v>120793701</v>
      </c>
      <c r="E24" s="4">
        <f t="shared" si="0"/>
        <v>165463102</v>
      </c>
    </row>
    <row r="25" spans="1:5">
      <c r="A25" s="63" t="s">
        <v>8</v>
      </c>
      <c r="B25" s="2" t="s">
        <v>30</v>
      </c>
      <c r="C25" s="4">
        <v>89529262</v>
      </c>
      <c r="D25" s="4">
        <v>46622838</v>
      </c>
      <c r="E25" s="4">
        <f t="shared" si="0"/>
        <v>89529262</v>
      </c>
    </row>
    <row r="26" spans="1:5">
      <c r="A26" s="63" t="s">
        <v>8</v>
      </c>
      <c r="B26" s="2" t="s">
        <v>31</v>
      </c>
      <c r="C26" s="4">
        <v>51423962</v>
      </c>
      <c r="D26" s="4">
        <v>13881209</v>
      </c>
      <c r="E26" s="4">
        <f t="shared" si="0"/>
        <v>51423962</v>
      </c>
    </row>
    <row r="27" spans="1:5">
      <c r="A27" s="63" t="s">
        <v>8</v>
      </c>
      <c r="B27" s="2" t="s">
        <v>32</v>
      </c>
      <c r="C27" s="4">
        <v>38487132</v>
      </c>
      <c r="D27" s="4">
        <v>12335526</v>
      </c>
      <c r="E27" s="4">
        <f t="shared" si="0"/>
        <v>38487132</v>
      </c>
    </row>
    <row r="28" spans="1:5">
      <c r="A28" s="63" t="s">
        <v>8</v>
      </c>
      <c r="B28" s="2" t="s">
        <v>33</v>
      </c>
      <c r="C28" s="4">
        <v>6821921</v>
      </c>
      <c r="D28" s="4">
        <v>1243062</v>
      </c>
      <c r="E28" s="4">
        <f t="shared" si="0"/>
        <v>6821921</v>
      </c>
    </row>
    <row r="29" spans="1:5">
      <c r="A29" s="63" t="s">
        <v>8</v>
      </c>
      <c r="B29" s="2" t="s">
        <v>34</v>
      </c>
      <c r="C29" s="4">
        <v>498325510</v>
      </c>
      <c r="D29" s="4">
        <v>527149962</v>
      </c>
      <c r="E29" s="4">
        <f t="shared" si="0"/>
        <v>498325510</v>
      </c>
    </row>
    <row r="30" spans="1:5">
      <c r="A30" s="63" t="s">
        <v>8</v>
      </c>
      <c r="B30" s="2" t="s">
        <v>35</v>
      </c>
      <c r="C30" s="4">
        <v>89192174</v>
      </c>
      <c r="D30" s="4">
        <v>34176595</v>
      </c>
      <c r="E30" s="4">
        <f t="shared" si="0"/>
        <v>89192174</v>
      </c>
    </row>
    <row r="31" spans="1:5">
      <c r="A31" s="63" t="s">
        <v>36</v>
      </c>
      <c r="B31" s="2" t="s">
        <v>9</v>
      </c>
      <c r="C31" s="4">
        <v>127658239</v>
      </c>
      <c r="D31" s="4">
        <v>47847143</v>
      </c>
      <c r="E31" s="4">
        <f t="shared" si="0"/>
        <v>127658239</v>
      </c>
    </row>
    <row r="32" spans="1:5">
      <c r="A32" s="63" t="s">
        <v>36</v>
      </c>
      <c r="B32" s="2" t="s">
        <v>10</v>
      </c>
      <c r="C32" s="4">
        <v>151203956</v>
      </c>
      <c r="D32" s="4">
        <v>28076335</v>
      </c>
      <c r="E32" s="4">
        <f t="shared" si="0"/>
        <v>151203956</v>
      </c>
    </row>
    <row r="33" spans="1:5">
      <c r="A33" s="63" t="s">
        <v>36</v>
      </c>
      <c r="B33" s="2" t="s">
        <v>11</v>
      </c>
      <c r="C33" s="4">
        <v>72831990</v>
      </c>
      <c r="D33" s="4">
        <v>20589193</v>
      </c>
      <c r="E33" s="4">
        <f t="shared" si="0"/>
        <v>72831990</v>
      </c>
    </row>
    <row r="34" spans="1:5">
      <c r="A34" s="63" t="s">
        <v>36</v>
      </c>
      <c r="B34" s="2" t="s">
        <v>12</v>
      </c>
      <c r="C34" s="4">
        <v>31313889</v>
      </c>
      <c r="D34" s="4">
        <v>8848087</v>
      </c>
      <c r="E34" s="4">
        <f t="shared" si="0"/>
        <v>31313889</v>
      </c>
    </row>
    <row r="35" spans="1:5">
      <c r="A35" s="63" t="s">
        <v>36</v>
      </c>
      <c r="B35" s="2" t="s">
        <v>13</v>
      </c>
      <c r="C35" s="4">
        <v>29726256</v>
      </c>
      <c r="D35" s="4">
        <v>1497121</v>
      </c>
      <c r="E35" s="4">
        <f t="shared" si="0"/>
        <v>29726256</v>
      </c>
    </row>
    <row r="36" spans="1:5">
      <c r="A36" s="63" t="s">
        <v>36</v>
      </c>
      <c r="B36" s="2" t="s">
        <v>14</v>
      </c>
      <c r="C36" s="4">
        <v>80859025</v>
      </c>
      <c r="D36" s="4">
        <v>29423200</v>
      </c>
      <c r="E36" s="4">
        <f t="shared" si="0"/>
        <v>80859025</v>
      </c>
    </row>
    <row r="37" spans="1:5">
      <c r="A37" s="63" t="s">
        <v>36</v>
      </c>
      <c r="B37" s="2" t="s">
        <v>15</v>
      </c>
      <c r="C37" s="4">
        <v>62426542</v>
      </c>
      <c r="D37" s="4">
        <v>22164910</v>
      </c>
      <c r="E37" s="4">
        <f t="shared" si="0"/>
        <v>62426542</v>
      </c>
    </row>
    <row r="38" spans="1:5">
      <c r="A38" s="63" t="s">
        <v>36</v>
      </c>
      <c r="B38" s="2" t="s">
        <v>16</v>
      </c>
      <c r="C38" s="4">
        <v>5800745</v>
      </c>
      <c r="D38" s="4">
        <v>2378003</v>
      </c>
      <c r="E38" s="4">
        <f t="shared" si="0"/>
        <v>5800745</v>
      </c>
    </row>
    <row r="39" spans="1:5">
      <c r="A39" s="63" t="s">
        <v>36</v>
      </c>
      <c r="B39" s="2" t="s">
        <v>17</v>
      </c>
      <c r="C39" s="4">
        <v>95478485</v>
      </c>
      <c r="D39" s="4">
        <v>24665890</v>
      </c>
      <c r="E39" s="4">
        <f t="shared" si="0"/>
        <v>95478485</v>
      </c>
    </row>
    <row r="40" spans="1:5">
      <c r="A40" s="63" t="s">
        <v>36</v>
      </c>
      <c r="B40" s="2" t="s">
        <v>18</v>
      </c>
      <c r="C40" s="4">
        <v>437047547</v>
      </c>
      <c r="D40" s="4">
        <v>86280667</v>
      </c>
      <c r="E40" s="4">
        <f t="shared" si="0"/>
        <v>437047547</v>
      </c>
    </row>
    <row r="41" spans="1:5">
      <c r="A41" s="63" t="s">
        <v>36</v>
      </c>
      <c r="B41" s="2" t="s">
        <v>19</v>
      </c>
      <c r="C41" s="4">
        <v>1150954237</v>
      </c>
      <c r="D41" s="4">
        <v>998420401</v>
      </c>
      <c r="E41" s="4">
        <f t="shared" si="0"/>
        <v>1150954237</v>
      </c>
    </row>
    <row r="42" spans="1:5">
      <c r="A42" s="63" t="s">
        <v>36</v>
      </c>
      <c r="B42" s="2" t="s">
        <v>20</v>
      </c>
      <c r="C42" s="4">
        <v>130070281</v>
      </c>
      <c r="D42" s="4">
        <v>5812977</v>
      </c>
      <c r="E42" s="4">
        <f t="shared" si="0"/>
        <v>130070281</v>
      </c>
    </row>
    <row r="43" spans="1:5">
      <c r="A43" s="63" t="s">
        <v>36</v>
      </c>
      <c r="B43" s="2" t="s">
        <v>21</v>
      </c>
      <c r="C43" s="4">
        <v>60861268</v>
      </c>
      <c r="D43" s="4">
        <v>25725498</v>
      </c>
      <c r="E43" s="4">
        <f t="shared" si="0"/>
        <v>60861268</v>
      </c>
    </row>
    <row r="44" spans="1:5">
      <c r="A44" s="63" t="s">
        <v>36</v>
      </c>
      <c r="B44" s="2" t="s">
        <v>22</v>
      </c>
      <c r="C44" s="4">
        <v>35505986</v>
      </c>
      <c r="D44" s="4">
        <v>4055305</v>
      </c>
      <c r="E44" s="4">
        <f t="shared" si="0"/>
        <v>35505986</v>
      </c>
    </row>
    <row r="45" spans="1:5">
      <c r="A45" s="63" t="s">
        <v>36</v>
      </c>
      <c r="B45" s="2" t="s">
        <v>23</v>
      </c>
      <c r="C45" s="4">
        <v>510537224</v>
      </c>
      <c r="D45" s="4">
        <v>92068220</v>
      </c>
      <c r="E45" s="4">
        <f t="shared" si="0"/>
        <v>510537224</v>
      </c>
    </row>
    <row r="46" spans="1:5">
      <c r="A46" s="63" t="s">
        <v>36</v>
      </c>
      <c r="B46" s="2" t="s">
        <v>24</v>
      </c>
      <c r="C46" s="4">
        <v>8523278</v>
      </c>
      <c r="D46" s="4">
        <v>2996955</v>
      </c>
      <c r="E46" s="4">
        <f t="shared" si="0"/>
        <v>8523278</v>
      </c>
    </row>
    <row r="47" spans="1:5">
      <c r="A47" s="63" t="s">
        <v>36</v>
      </c>
      <c r="B47" s="2" t="s">
        <v>25</v>
      </c>
      <c r="C47" s="4">
        <v>26821191</v>
      </c>
      <c r="D47" s="4">
        <v>9926898</v>
      </c>
      <c r="E47" s="4">
        <f t="shared" si="0"/>
        <v>26821191</v>
      </c>
    </row>
    <row r="48" spans="1:5">
      <c r="A48" s="63" t="s">
        <v>36</v>
      </c>
      <c r="B48" s="2" t="s">
        <v>26</v>
      </c>
      <c r="C48" s="4">
        <v>5252699</v>
      </c>
      <c r="D48" s="4">
        <v>745101</v>
      </c>
      <c r="E48" s="4">
        <f t="shared" si="0"/>
        <v>5252699</v>
      </c>
    </row>
    <row r="49" spans="1:5">
      <c r="A49" s="63" t="s">
        <v>36</v>
      </c>
      <c r="B49" s="2" t="s">
        <v>27</v>
      </c>
      <c r="C49" s="4">
        <v>4814197</v>
      </c>
      <c r="D49" s="4">
        <v>968089</v>
      </c>
      <c r="E49" s="4">
        <f t="shared" si="0"/>
        <v>4814197</v>
      </c>
    </row>
    <row r="50" spans="1:5">
      <c r="A50" s="63" t="s">
        <v>36</v>
      </c>
      <c r="B50" s="2" t="s">
        <v>28</v>
      </c>
      <c r="C50" s="4">
        <v>151102615</v>
      </c>
      <c r="D50" s="4">
        <v>23343485</v>
      </c>
      <c r="E50" s="4">
        <f t="shared" si="0"/>
        <v>151102615</v>
      </c>
    </row>
    <row r="51" spans="1:5">
      <c r="A51" s="63" t="s">
        <v>36</v>
      </c>
      <c r="B51" s="2" t="s">
        <v>29</v>
      </c>
      <c r="C51" s="4">
        <v>192607767</v>
      </c>
      <c r="D51" s="4">
        <v>120218500</v>
      </c>
      <c r="E51" s="4">
        <f t="shared" si="0"/>
        <v>192607767</v>
      </c>
    </row>
    <row r="52" spans="1:5">
      <c r="A52" s="63" t="s">
        <v>36</v>
      </c>
      <c r="B52" s="2" t="s">
        <v>30</v>
      </c>
      <c r="C52" s="4">
        <v>79667659</v>
      </c>
      <c r="D52" s="4">
        <v>20464234</v>
      </c>
      <c r="E52" s="4">
        <f t="shared" si="0"/>
        <v>79667659</v>
      </c>
    </row>
    <row r="53" spans="1:5">
      <c r="A53" s="63" t="s">
        <v>36</v>
      </c>
      <c r="B53" s="2" t="s">
        <v>31</v>
      </c>
      <c r="C53" s="4">
        <v>121854798</v>
      </c>
      <c r="D53" s="4">
        <v>25120212</v>
      </c>
      <c r="E53" s="4">
        <f t="shared" si="0"/>
        <v>121854798</v>
      </c>
    </row>
    <row r="54" spans="1:5">
      <c r="A54" s="63" t="s">
        <v>36</v>
      </c>
      <c r="B54" s="2" t="s">
        <v>32</v>
      </c>
      <c r="C54" s="4">
        <v>33380145</v>
      </c>
      <c r="D54" s="4">
        <v>11942716</v>
      </c>
      <c r="E54" s="4">
        <f t="shared" si="0"/>
        <v>33380145</v>
      </c>
    </row>
    <row r="55" spans="1:5">
      <c r="A55" s="63" t="s">
        <v>36</v>
      </c>
      <c r="B55" s="2" t="s">
        <v>33</v>
      </c>
      <c r="C55" s="4">
        <v>26142651</v>
      </c>
      <c r="D55" s="4">
        <v>3722965</v>
      </c>
      <c r="E55" s="4">
        <f t="shared" si="0"/>
        <v>26142651</v>
      </c>
    </row>
    <row r="56" spans="1:5">
      <c r="A56" s="63" t="s">
        <v>36</v>
      </c>
      <c r="B56" s="2" t="s">
        <v>34</v>
      </c>
      <c r="C56" s="4">
        <v>631174030</v>
      </c>
      <c r="D56" s="4">
        <v>318033008</v>
      </c>
      <c r="E56" s="4">
        <f t="shared" si="0"/>
        <v>631174030</v>
      </c>
    </row>
    <row r="57" spans="1:5">
      <c r="A57" s="63" t="s">
        <v>36</v>
      </c>
      <c r="B57" s="2" t="s">
        <v>35</v>
      </c>
      <c r="C57" s="4">
        <v>77495365</v>
      </c>
      <c r="D57" s="4">
        <v>60375184</v>
      </c>
      <c r="E57" s="4">
        <f t="shared" si="0"/>
        <v>77495365</v>
      </c>
    </row>
    <row r="58" spans="1:5">
      <c r="A58" s="63" t="s">
        <v>37</v>
      </c>
      <c r="B58" s="2" t="s">
        <v>9</v>
      </c>
      <c r="C58" s="4">
        <v>73752394</v>
      </c>
      <c r="D58" s="4">
        <v>26019219</v>
      </c>
      <c r="E58" s="4">
        <f t="shared" si="0"/>
        <v>73752394</v>
      </c>
    </row>
    <row r="59" spans="1:5">
      <c r="A59" s="63" t="s">
        <v>37</v>
      </c>
      <c r="B59" s="2" t="s">
        <v>10</v>
      </c>
      <c r="C59" s="4">
        <v>84466520</v>
      </c>
      <c r="D59" s="4">
        <v>7294641</v>
      </c>
      <c r="E59" s="4">
        <f t="shared" si="0"/>
        <v>84466520</v>
      </c>
    </row>
    <row r="60" spans="1:5">
      <c r="A60" s="63" t="s">
        <v>37</v>
      </c>
      <c r="B60" s="2" t="s">
        <v>11</v>
      </c>
      <c r="C60" s="4">
        <v>46880469</v>
      </c>
      <c r="D60" s="4">
        <v>11020324</v>
      </c>
      <c r="E60" s="4">
        <f t="shared" si="0"/>
        <v>46880469</v>
      </c>
    </row>
    <row r="61" spans="1:5">
      <c r="A61" s="63" t="s">
        <v>37</v>
      </c>
      <c r="B61" s="2" t="s">
        <v>12</v>
      </c>
      <c r="C61" s="4">
        <v>33659750</v>
      </c>
      <c r="D61" s="4">
        <v>7441333</v>
      </c>
      <c r="E61" s="4">
        <f t="shared" si="0"/>
        <v>33659750</v>
      </c>
    </row>
    <row r="62" spans="1:5">
      <c r="A62" s="63" t="s">
        <v>37</v>
      </c>
      <c r="B62" s="2" t="s">
        <v>13</v>
      </c>
      <c r="C62" s="4">
        <v>15991437</v>
      </c>
      <c r="D62" s="4">
        <v>566055</v>
      </c>
      <c r="E62" s="4">
        <f t="shared" si="0"/>
        <v>15991437</v>
      </c>
    </row>
    <row r="63" spans="1:5">
      <c r="A63" s="63" t="s">
        <v>37</v>
      </c>
      <c r="B63" s="2" t="s">
        <v>14</v>
      </c>
      <c r="C63" s="4">
        <v>78905383</v>
      </c>
      <c r="D63" s="4">
        <v>9770047</v>
      </c>
      <c r="E63" s="4">
        <f t="shared" si="0"/>
        <v>78905383</v>
      </c>
    </row>
    <row r="64" spans="1:5">
      <c r="A64" s="63" t="s">
        <v>37</v>
      </c>
      <c r="B64" s="2" t="s">
        <v>15</v>
      </c>
      <c r="C64" s="4">
        <v>68540851</v>
      </c>
      <c r="D64" s="4">
        <v>17801856</v>
      </c>
      <c r="E64" s="4">
        <f t="shared" si="0"/>
        <v>68540851</v>
      </c>
    </row>
    <row r="65" spans="1:5">
      <c r="A65" s="63" t="s">
        <v>37</v>
      </c>
      <c r="B65" s="2" t="s">
        <v>16</v>
      </c>
      <c r="C65" s="4">
        <v>2350354</v>
      </c>
      <c r="D65" s="4">
        <v>2465991</v>
      </c>
      <c r="E65" s="4">
        <f t="shared" si="0"/>
        <v>2350354</v>
      </c>
    </row>
    <row r="66" spans="1:5">
      <c r="A66" s="63" t="s">
        <v>37</v>
      </c>
      <c r="B66" s="2" t="s">
        <v>17</v>
      </c>
      <c r="C66" s="4">
        <v>60198395</v>
      </c>
      <c r="D66" s="4">
        <v>18686344</v>
      </c>
      <c r="E66" s="4">
        <f t="shared" si="0"/>
        <v>60198395</v>
      </c>
    </row>
    <row r="67" spans="1:5">
      <c r="A67" s="63" t="s">
        <v>37</v>
      </c>
      <c r="B67" s="2" t="s">
        <v>18</v>
      </c>
      <c r="C67" s="4">
        <v>481521196</v>
      </c>
      <c r="D67" s="4">
        <v>57850480</v>
      </c>
      <c r="E67" s="4">
        <f t="shared" si="0"/>
        <v>481521196</v>
      </c>
    </row>
    <row r="68" spans="1:5">
      <c r="A68" s="63" t="s">
        <v>37</v>
      </c>
      <c r="B68" s="2" t="s">
        <v>19</v>
      </c>
      <c r="C68" s="4">
        <v>579776398</v>
      </c>
      <c r="D68" s="4">
        <v>509422417</v>
      </c>
      <c r="E68" s="4">
        <f t="shared" si="0"/>
        <v>579776398</v>
      </c>
    </row>
    <row r="69" spans="1:5">
      <c r="A69" s="63" t="s">
        <v>37</v>
      </c>
      <c r="B69" s="2" t="s">
        <v>20</v>
      </c>
      <c r="C69" s="4">
        <v>109525982</v>
      </c>
      <c r="D69" s="4">
        <v>1949244</v>
      </c>
      <c r="E69" s="4">
        <f t="shared" ref="E69:E132" si="1">SUM(C69)</f>
        <v>109525982</v>
      </c>
    </row>
    <row r="70" spans="1:5">
      <c r="A70" s="63" t="s">
        <v>37</v>
      </c>
      <c r="B70" s="2" t="s">
        <v>21</v>
      </c>
      <c r="C70" s="4">
        <v>37164058</v>
      </c>
      <c r="D70" s="4">
        <v>10718334</v>
      </c>
      <c r="E70" s="4">
        <f t="shared" si="1"/>
        <v>37164058</v>
      </c>
    </row>
    <row r="71" spans="1:5">
      <c r="A71" s="63" t="s">
        <v>37</v>
      </c>
      <c r="B71" s="2" t="s">
        <v>22</v>
      </c>
      <c r="C71" s="4">
        <v>27408615</v>
      </c>
      <c r="D71" s="4">
        <v>2990881</v>
      </c>
      <c r="E71" s="4">
        <f t="shared" si="1"/>
        <v>27408615</v>
      </c>
    </row>
    <row r="72" spans="1:5">
      <c r="A72" s="63" t="s">
        <v>37</v>
      </c>
      <c r="B72" s="2" t="s">
        <v>23</v>
      </c>
      <c r="C72" s="4">
        <v>521425889</v>
      </c>
      <c r="D72" s="4">
        <v>66244207</v>
      </c>
      <c r="E72" s="4">
        <f t="shared" si="1"/>
        <v>521425889</v>
      </c>
    </row>
    <row r="73" spans="1:5">
      <c r="A73" s="63" t="s">
        <v>37</v>
      </c>
      <c r="B73" s="2" t="s">
        <v>24</v>
      </c>
      <c r="C73" s="4">
        <v>8400767</v>
      </c>
      <c r="D73" s="4">
        <v>2001390</v>
      </c>
      <c r="E73" s="4">
        <f t="shared" si="1"/>
        <v>8400767</v>
      </c>
    </row>
    <row r="74" spans="1:5">
      <c r="A74" s="63" t="s">
        <v>37</v>
      </c>
      <c r="B74" s="2" t="s">
        <v>25</v>
      </c>
      <c r="C74" s="4">
        <v>18896748</v>
      </c>
      <c r="D74" s="4">
        <v>9208210</v>
      </c>
      <c r="E74" s="4">
        <f t="shared" si="1"/>
        <v>18896748</v>
      </c>
    </row>
    <row r="75" spans="1:5">
      <c r="A75" s="63" t="s">
        <v>37</v>
      </c>
      <c r="B75" s="2" t="s">
        <v>26</v>
      </c>
      <c r="C75" s="4">
        <v>3991531</v>
      </c>
      <c r="D75" s="4">
        <v>575166</v>
      </c>
      <c r="E75" s="4">
        <f t="shared" si="1"/>
        <v>3991531</v>
      </c>
    </row>
    <row r="76" spans="1:5">
      <c r="A76" s="63" t="s">
        <v>37</v>
      </c>
      <c r="B76" s="2" t="s">
        <v>27</v>
      </c>
      <c r="C76" s="4">
        <v>3082472</v>
      </c>
      <c r="D76" s="4">
        <v>548346</v>
      </c>
      <c r="E76" s="4">
        <f t="shared" si="1"/>
        <v>3082472</v>
      </c>
    </row>
    <row r="77" spans="1:5">
      <c r="A77" s="63" t="s">
        <v>37</v>
      </c>
      <c r="B77" s="2" t="s">
        <v>28</v>
      </c>
      <c r="C77" s="4">
        <v>95033024</v>
      </c>
      <c r="D77" s="4">
        <v>35858966</v>
      </c>
      <c r="E77" s="4">
        <f t="shared" si="1"/>
        <v>95033024</v>
      </c>
    </row>
    <row r="78" spans="1:5">
      <c r="A78" s="63" t="s">
        <v>37</v>
      </c>
      <c r="B78" s="2" t="s">
        <v>29</v>
      </c>
      <c r="C78" s="4">
        <v>133281509</v>
      </c>
      <c r="D78" s="4">
        <v>46917365</v>
      </c>
      <c r="E78" s="4">
        <f t="shared" si="1"/>
        <v>133281509</v>
      </c>
    </row>
    <row r="79" spans="1:5">
      <c r="A79" s="63" t="s">
        <v>37</v>
      </c>
      <c r="B79" s="2" t="s">
        <v>30</v>
      </c>
      <c r="C79" s="4">
        <v>98418792</v>
      </c>
      <c r="D79" s="4">
        <v>10349046</v>
      </c>
      <c r="E79" s="4">
        <f t="shared" si="1"/>
        <v>98418792</v>
      </c>
    </row>
    <row r="80" spans="1:5">
      <c r="A80" s="63" t="s">
        <v>37</v>
      </c>
      <c r="B80" s="2" t="s">
        <v>31</v>
      </c>
      <c r="C80" s="4">
        <v>54611294</v>
      </c>
      <c r="D80" s="4">
        <v>8088385</v>
      </c>
      <c r="E80" s="4">
        <f t="shared" si="1"/>
        <v>54611294</v>
      </c>
    </row>
    <row r="81" spans="1:5">
      <c r="A81" s="63" t="s">
        <v>37</v>
      </c>
      <c r="B81" s="2" t="s">
        <v>32</v>
      </c>
      <c r="C81" s="4">
        <v>20460551</v>
      </c>
      <c r="D81" s="4">
        <v>3695897</v>
      </c>
      <c r="E81" s="4">
        <f t="shared" si="1"/>
        <v>20460551</v>
      </c>
    </row>
    <row r="82" spans="1:5">
      <c r="A82" s="63" t="s">
        <v>37</v>
      </c>
      <c r="B82" s="2" t="s">
        <v>33</v>
      </c>
      <c r="C82" s="4">
        <v>7221994</v>
      </c>
      <c r="D82" s="4">
        <v>5717612</v>
      </c>
      <c r="E82" s="4">
        <f t="shared" si="1"/>
        <v>7221994</v>
      </c>
    </row>
    <row r="83" spans="1:5">
      <c r="A83" s="63" t="s">
        <v>37</v>
      </c>
      <c r="B83" s="2" t="s">
        <v>34</v>
      </c>
      <c r="C83" s="4">
        <v>474875721</v>
      </c>
      <c r="D83" s="4">
        <v>94905484</v>
      </c>
      <c r="E83" s="4">
        <f t="shared" si="1"/>
        <v>474875721</v>
      </c>
    </row>
    <row r="84" spans="1:5">
      <c r="A84" s="63" t="s">
        <v>37</v>
      </c>
      <c r="B84" s="2" t="s">
        <v>35</v>
      </c>
      <c r="C84" s="4">
        <v>76898507</v>
      </c>
      <c r="D84" s="4">
        <v>20064701</v>
      </c>
      <c r="E84" s="4">
        <f t="shared" si="1"/>
        <v>76898507</v>
      </c>
    </row>
    <row r="85" spans="1:5">
      <c r="A85" s="63" t="s">
        <v>38</v>
      </c>
      <c r="B85" s="2" t="s">
        <v>9</v>
      </c>
      <c r="C85" s="4">
        <v>59158946</v>
      </c>
      <c r="D85" s="4">
        <v>23605421</v>
      </c>
      <c r="E85" s="4">
        <f t="shared" si="1"/>
        <v>59158946</v>
      </c>
    </row>
    <row r="86" spans="1:5">
      <c r="A86" s="63" t="s">
        <v>38</v>
      </c>
      <c r="B86" s="2" t="s">
        <v>10</v>
      </c>
      <c r="C86" s="4">
        <v>58861537</v>
      </c>
      <c r="D86" s="4">
        <v>26284934</v>
      </c>
      <c r="E86" s="4">
        <f t="shared" si="1"/>
        <v>58861537</v>
      </c>
    </row>
    <row r="87" spans="1:5">
      <c r="A87" s="63" t="s">
        <v>38</v>
      </c>
      <c r="B87" s="2" t="s">
        <v>11</v>
      </c>
      <c r="C87" s="4">
        <v>44125387</v>
      </c>
      <c r="D87" s="4">
        <v>11625099</v>
      </c>
      <c r="E87" s="4">
        <f t="shared" si="1"/>
        <v>44125387</v>
      </c>
    </row>
    <row r="88" spans="1:5">
      <c r="A88" s="63" t="s">
        <v>38</v>
      </c>
      <c r="B88" s="2" t="s">
        <v>12</v>
      </c>
      <c r="C88" s="4">
        <v>25724039</v>
      </c>
      <c r="D88" s="4">
        <v>6731383</v>
      </c>
      <c r="E88" s="4">
        <f t="shared" si="1"/>
        <v>25724039</v>
      </c>
    </row>
    <row r="89" spans="1:5">
      <c r="A89" s="63" t="s">
        <v>38</v>
      </c>
      <c r="B89" s="2" t="s">
        <v>13</v>
      </c>
      <c r="C89" s="4">
        <v>6646625</v>
      </c>
      <c r="D89" s="4">
        <v>2000196</v>
      </c>
      <c r="E89" s="4">
        <f t="shared" si="1"/>
        <v>6646625</v>
      </c>
    </row>
    <row r="90" spans="1:5">
      <c r="A90" s="63" t="s">
        <v>38</v>
      </c>
      <c r="B90" s="2" t="s">
        <v>14</v>
      </c>
      <c r="C90" s="4">
        <v>49552533</v>
      </c>
      <c r="D90" s="4">
        <v>47206575</v>
      </c>
      <c r="E90" s="4">
        <f t="shared" si="1"/>
        <v>49552533</v>
      </c>
    </row>
    <row r="91" spans="1:5">
      <c r="A91" s="63" t="s">
        <v>38</v>
      </c>
      <c r="B91" s="2" t="s">
        <v>15</v>
      </c>
      <c r="C91" s="4">
        <v>34519989</v>
      </c>
      <c r="D91" s="4">
        <v>26368918</v>
      </c>
      <c r="E91" s="4">
        <f t="shared" si="1"/>
        <v>34519989</v>
      </c>
    </row>
    <row r="92" spans="1:5">
      <c r="A92" s="63" t="s">
        <v>38</v>
      </c>
      <c r="B92" s="2" t="s">
        <v>16</v>
      </c>
      <c r="C92" s="4">
        <v>2091875</v>
      </c>
      <c r="D92" s="4">
        <v>2508039</v>
      </c>
      <c r="E92" s="4">
        <f t="shared" si="1"/>
        <v>2091875</v>
      </c>
    </row>
    <row r="93" spans="1:5">
      <c r="A93" s="63" t="s">
        <v>38</v>
      </c>
      <c r="B93" s="2" t="s">
        <v>17</v>
      </c>
      <c r="C93" s="4">
        <v>75976827</v>
      </c>
      <c r="D93" s="4">
        <v>23247577</v>
      </c>
      <c r="E93" s="4">
        <f t="shared" si="1"/>
        <v>75976827</v>
      </c>
    </row>
    <row r="94" spans="1:5">
      <c r="A94" s="63" t="s">
        <v>38</v>
      </c>
      <c r="B94" s="2" t="s">
        <v>18</v>
      </c>
      <c r="C94" s="4">
        <v>461473394</v>
      </c>
      <c r="D94" s="4">
        <v>138673776</v>
      </c>
      <c r="E94" s="4">
        <f t="shared" si="1"/>
        <v>461473394</v>
      </c>
    </row>
    <row r="95" spans="1:5">
      <c r="A95" s="63" t="s">
        <v>38</v>
      </c>
      <c r="B95" s="2" t="s">
        <v>19</v>
      </c>
      <c r="C95" s="4">
        <v>408888005</v>
      </c>
      <c r="D95" s="4">
        <v>463517799</v>
      </c>
      <c r="E95" s="4">
        <f t="shared" si="1"/>
        <v>408888005</v>
      </c>
    </row>
    <row r="96" spans="1:5">
      <c r="A96" s="63" t="s">
        <v>38</v>
      </c>
      <c r="B96" s="2" t="s">
        <v>20</v>
      </c>
      <c r="C96" s="4">
        <v>128156521</v>
      </c>
      <c r="D96" s="4">
        <v>10488632</v>
      </c>
      <c r="E96" s="4">
        <f t="shared" si="1"/>
        <v>128156521</v>
      </c>
    </row>
    <row r="97" spans="1:5">
      <c r="A97" s="63" t="s">
        <v>38</v>
      </c>
      <c r="B97" s="2" t="s">
        <v>21</v>
      </c>
      <c r="C97" s="4">
        <v>64388096</v>
      </c>
      <c r="D97" s="4">
        <v>11358194</v>
      </c>
      <c r="E97" s="4">
        <f t="shared" si="1"/>
        <v>64388096</v>
      </c>
    </row>
    <row r="98" spans="1:5">
      <c r="A98" s="63" t="s">
        <v>38</v>
      </c>
      <c r="B98" s="2" t="s">
        <v>22</v>
      </c>
      <c r="C98" s="4">
        <v>35846153</v>
      </c>
      <c r="D98" s="4">
        <v>9842175</v>
      </c>
      <c r="E98" s="4">
        <f t="shared" si="1"/>
        <v>35846153</v>
      </c>
    </row>
    <row r="99" spans="1:5">
      <c r="A99" s="63" t="s">
        <v>38</v>
      </c>
      <c r="B99" s="2" t="s">
        <v>23</v>
      </c>
      <c r="C99" s="4">
        <v>487488587</v>
      </c>
      <c r="D99" s="4">
        <v>73799877</v>
      </c>
      <c r="E99" s="4">
        <f t="shared" si="1"/>
        <v>487488587</v>
      </c>
    </row>
    <row r="100" spans="1:5">
      <c r="A100" s="63" t="s">
        <v>38</v>
      </c>
      <c r="B100" s="2" t="s">
        <v>24</v>
      </c>
      <c r="C100" s="4">
        <v>8908314</v>
      </c>
      <c r="D100" s="4">
        <v>2299034</v>
      </c>
      <c r="E100" s="4">
        <f t="shared" si="1"/>
        <v>8908314</v>
      </c>
    </row>
    <row r="101" spans="1:5">
      <c r="A101" s="63" t="s">
        <v>38</v>
      </c>
      <c r="B101" s="2" t="s">
        <v>25</v>
      </c>
      <c r="C101" s="4">
        <v>18896748</v>
      </c>
      <c r="D101" s="4">
        <v>8953674</v>
      </c>
      <c r="E101" s="4">
        <f t="shared" si="1"/>
        <v>18896748</v>
      </c>
    </row>
    <row r="102" spans="1:5">
      <c r="A102" s="63" t="s">
        <v>38</v>
      </c>
      <c r="B102" s="2" t="s">
        <v>26</v>
      </c>
      <c r="C102" s="4">
        <v>3328443</v>
      </c>
      <c r="D102" s="4">
        <v>1228762</v>
      </c>
      <c r="E102" s="4">
        <f t="shared" si="1"/>
        <v>3328443</v>
      </c>
    </row>
    <row r="103" spans="1:5">
      <c r="A103" s="63" t="s">
        <v>38</v>
      </c>
      <c r="B103" s="2" t="s">
        <v>27</v>
      </c>
      <c r="C103" s="4">
        <v>3965651</v>
      </c>
      <c r="D103" s="4">
        <v>360802</v>
      </c>
      <c r="E103" s="4">
        <f t="shared" si="1"/>
        <v>3965651</v>
      </c>
    </row>
    <row r="104" spans="1:5">
      <c r="A104" s="63" t="s">
        <v>38</v>
      </c>
      <c r="B104" s="2" t="s">
        <v>28</v>
      </c>
      <c r="C104" s="4">
        <v>99091934</v>
      </c>
      <c r="D104" s="4">
        <v>62177342</v>
      </c>
      <c r="E104" s="4">
        <f t="shared" si="1"/>
        <v>99091934</v>
      </c>
    </row>
    <row r="105" spans="1:5">
      <c r="A105" s="63" t="s">
        <v>38</v>
      </c>
      <c r="B105" s="2" t="s">
        <v>29</v>
      </c>
      <c r="C105" s="4">
        <v>126541879</v>
      </c>
      <c r="D105" s="4">
        <v>53241881</v>
      </c>
      <c r="E105" s="4">
        <f t="shared" si="1"/>
        <v>126541879</v>
      </c>
    </row>
    <row r="106" spans="1:5">
      <c r="A106" s="63" t="s">
        <v>38</v>
      </c>
      <c r="B106" s="2" t="s">
        <v>30</v>
      </c>
      <c r="C106" s="4">
        <v>101377272</v>
      </c>
      <c r="D106" s="4">
        <v>27311002</v>
      </c>
      <c r="E106" s="4">
        <f t="shared" si="1"/>
        <v>101377272</v>
      </c>
    </row>
    <row r="107" spans="1:5">
      <c r="A107" s="63" t="s">
        <v>38</v>
      </c>
      <c r="B107" s="2" t="s">
        <v>31</v>
      </c>
      <c r="C107" s="4">
        <v>47559009</v>
      </c>
      <c r="D107" s="4">
        <v>7356578</v>
      </c>
      <c r="E107" s="4">
        <f t="shared" si="1"/>
        <v>47559009</v>
      </c>
    </row>
    <row r="108" spans="1:5">
      <c r="A108" s="63" t="s">
        <v>38</v>
      </c>
      <c r="B108" s="2" t="s">
        <v>32</v>
      </c>
      <c r="C108" s="4">
        <v>26371618</v>
      </c>
      <c r="D108" s="4">
        <v>3537499</v>
      </c>
      <c r="E108" s="4">
        <f t="shared" si="1"/>
        <v>26371618</v>
      </c>
    </row>
    <row r="109" spans="1:5">
      <c r="A109" s="63" t="s">
        <v>38</v>
      </c>
      <c r="B109" s="2" t="s">
        <v>33</v>
      </c>
      <c r="C109" s="4">
        <v>5118165</v>
      </c>
      <c r="D109" s="4">
        <v>5054166</v>
      </c>
      <c r="E109" s="4">
        <f t="shared" si="1"/>
        <v>5118165</v>
      </c>
    </row>
    <row r="110" spans="1:5">
      <c r="A110" s="63" t="s">
        <v>38</v>
      </c>
      <c r="B110" s="2" t="s">
        <v>34</v>
      </c>
      <c r="C110" s="4">
        <v>594548143</v>
      </c>
      <c r="D110" s="4">
        <v>349045430</v>
      </c>
      <c r="E110" s="4">
        <f t="shared" si="1"/>
        <v>594548143</v>
      </c>
    </row>
    <row r="111" spans="1:5">
      <c r="A111" s="63" t="s">
        <v>38</v>
      </c>
      <c r="B111" s="2" t="s">
        <v>35</v>
      </c>
      <c r="C111" s="4">
        <v>71122206</v>
      </c>
      <c r="D111" s="4">
        <v>23790406</v>
      </c>
      <c r="E111" s="4">
        <f t="shared" si="1"/>
        <v>71122206</v>
      </c>
    </row>
    <row r="112" spans="1:5">
      <c r="A112" s="63" t="s">
        <v>39</v>
      </c>
      <c r="B112" s="2" t="s">
        <v>9</v>
      </c>
      <c r="C112" s="4">
        <v>67845852</v>
      </c>
      <c r="D112" s="4">
        <v>20576071</v>
      </c>
      <c r="E112" s="4">
        <f t="shared" si="1"/>
        <v>67845852</v>
      </c>
    </row>
    <row r="113" spans="1:5">
      <c r="A113" s="63" t="s">
        <v>39</v>
      </c>
      <c r="B113" s="2" t="s">
        <v>10</v>
      </c>
      <c r="C113" s="4">
        <v>44583341</v>
      </c>
      <c r="D113" s="4">
        <v>31583743</v>
      </c>
      <c r="E113" s="4">
        <f t="shared" si="1"/>
        <v>44583341</v>
      </c>
    </row>
    <row r="114" spans="1:5">
      <c r="A114" s="63" t="s">
        <v>39</v>
      </c>
      <c r="B114" s="2" t="s">
        <v>11</v>
      </c>
      <c r="C114" s="4">
        <v>34422126</v>
      </c>
      <c r="D114" s="4">
        <v>12068600</v>
      </c>
      <c r="E114" s="4">
        <f t="shared" si="1"/>
        <v>34422126</v>
      </c>
    </row>
    <row r="115" spans="1:5">
      <c r="A115" s="63" t="s">
        <v>39</v>
      </c>
      <c r="B115" s="2" t="s">
        <v>12</v>
      </c>
      <c r="C115" s="4">
        <v>23512226</v>
      </c>
      <c r="D115" s="4">
        <v>6652499</v>
      </c>
      <c r="E115" s="4">
        <f t="shared" si="1"/>
        <v>23512226</v>
      </c>
    </row>
    <row r="116" spans="1:5">
      <c r="A116" s="63" t="s">
        <v>39</v>
      </c>
      <c r="B116" s="2" t="s">
        <v>13</v>
      </c>
      <c r="C116" s="4">
        <v>5671068</v>
      </c>
      <c r="D116" s="4">
        <v>1511747</v>
      </c>
      <c r="E116" s="4">
        <f t="shared" si="1"/>
        <v>5671068</v>
      </c>
    </row>
    <row r="117" spans="1:5">
      <c r="A117" s="63" t="s">
        <v>39</v>
      </c>
      <c r="B117" s="2" t="s">
        <v>14</v>
      </c>
      <c r="C117" s="4">
        <v>33899287</v>
      </c>
      <c r="D117" s="4">
        <v>52663910</v>
      </c>
      <c r="E117" s="4">
        <f t="shared" si="1"/>
        <v>33899287</v>
      </c>
    </row>
    <row r="118" spans="1:5">
      <c r="A118" s="63" t="s">
        <v>39</v>
      </c>
      <c r="B118" s="2" t="s">
        <v>15</v>
      </c>
      <c r="C118" s="4">
        <v>34350642</v>
      </c>
      <c r="D118" s="4">
        <v>23911079</v>
      </c>
      <c r="E118" s="4">
        <f t="shared" si="1"/>
        <v>34350642</v>
      </c>
    </row>
    <row r="119" spans="1:5">
      <c r="A119" s="63" t="s">
        <v>39</v>
      </c>
      <c r="B119" s="2" t="s">
        <v>16</v>
      </c>
      <c r="C119" s="4">
        <v>3240002</v>
      </c>
      <c r="D119" s="4">
        <v>2472998</v>
      </c>
      <c r="E119" s="4">
        <f t="shared" si="1"/>
        <v>3240002</v>
      </c>
    </row>
    <row r="120" spans="1:5">
      <c r="A120" s="63" t="s">
        <v>39</v>
      </c>
      <c r="B120" s="2" t="s">
        <v>17</v>
      </c>
      <c r="C120" s="4">
        <v>50216123</v>
      </c>
      <c r="D120" s="4">
        <v>11224418</v>
      </c>
      <c r="E120" s="4">
        <f t="shared" si="1"/>
        <v>50216123</v>
      </c>
    </row>
    <row r="121" spans="1:5">
      <c r="A121" s="63" t="s">
        <v>39</v>
      </c>
      <c r="B121" s="2" t="s">
        <v>18</v>
      </c>
      <c r="C121" s="4">
        <v>304593418</v>
      </c>
      <c r="D121" s="4">
        <v>160856867</v>
      </c>
      <c r="E121" s="4">
        <f t="shared" si="1"/>
        <v>304593418</v>
      </c>
    </row>
    <row r="122" spans="1:5">
      <c r="A122" s="63" t="s">
        <v>39</v>
      </c>
      <c r="B122" s="2" t="s">
        <v>19</v>
      </c>
      <c r="C122" s="4">
        <v>401435920</v>
      </c>
      <c r="D122" s="4">
        <v>440092143</v>
      </c>
      <c r="E122" s="4">
        <f t="shared" si="1"/>
        <v>401435920</v>
      </c>
    </row>
    <row r="123" spans="1:5">
      <c r="A123" s="63" t="s">
        <v>39</v>
      </c>
      <c r="B123" s="2" t="s">
        <v>20</v>
      </c>
      <c r="C123" s="4">
        <v>93201769</v>
      </c>
      <c r="D123" s="4">
        <v>11575405</v>
      </c>
      <c r="E123" s="4">
        <f t="shared" si="1"/>
        <v>93201769</v>
      </c>
    </row>
    <row r="124" spans="1:5">
      <c r="A124" s="63" t="s">
        <v>39</v>
      </c>
      <c r="B124" s="2" t="s">
        <v>21</v>
      </c>
      <c r="C124" s="4">
        <v>26216373</v>
      </c>
      <c r="D124" s="4">
        <v>5731637</v>
      </c>
      <c r="E124" s="4">
        <f t="shared" si="1"/>
        <v>26216373</v>
      </c>
    </row>
    <row r="125" spans="1:5">
      <c r="A125" s="63" t="s">
        <v>39</v>
      </c>
      <c r="B125" s="2" t="s">
        <v>22</v>
      </c>
      <c r="C125" s="4">
        <v>21936663</v>
      </c>
      <c r="D125" s="4">
        <v>12803071</v>
      </c>
      <c r="E125" s="4">
        <f t="shared" si="1"/>
        <v>21936663</v>
      </c>
    </row>
    <row r="126" spans="1:5">
      <c r="A126" s="63" t="s">
        <v>39</v>
      </c>
      <c r="B126" s="2" t="s">
        <v>23</v>
      </c>
      <c r="C126" s="4">
        <v>455037228</v>
      </c>
      <c r="D126" s="4">
        <v>55716464</v>
      </c>
      <c r="E126" s="4">
        <f t="shared" si="1"/>
        <v>455037228</v>
      </c>
    </row>
    <row r="127" spans="1:5">
      <c r="A127" s="63" t="s">
        <v>39</v>
      </c>
      <c r="B127" s="2" t="s">
        <v>24</v>
      </c>
      <c r="C127" s="4">
        <v>8855809</v>
      </c>
      <c r="D127" s="4">
        <v>1170044</v>
      </c>
      <c r="E127" s="4">
        <f t="shared" si="1"/>
        <v>8855809</v>
      </c>
    </row>
    <row r="128" spans="1:5">
      <c r="A128" s="63" t="s">
        <v>39</v>
      </c>
      <c r="B128" s="2" t="s">
        <v>25</v>
      </c>
      <c r="C128" s="4">
        <v>14700621</v>
      </c>
      <c r="D128" s="4">
        <v>5030827</v>
      </c>
      <c r="E128" s="4">
        <f t="shared" si="1"/>
        <v>14700621</v>
      </c>
    </row>
    <row r="129" spans="1:5">
      <c r="A129" s="63" t="s">
        <v>39</v>
      </c>
      <c r="B129" s="2" t="s">
        <v>26</v>
      </c>
      <c r="C129" s="4">
        <v>2535337</v>
      </c>
      <c r="D129" s="4">
        <v>1516344</v>
      </c>
      <c r="E129" s="4">
        <f t="shared" si="1"/>
        <v>2535337</v>
      </c>
    </row>
    <row r="130" spans="1:5">
      <c r="A130" s="63" t="s">
        <v>39</v>
      </c>
      <c r="B130" s="2" t="s">
        <v>27</v>
      </c>
      <c r="C130" s="4">
        <v>3324913</v>
      </c>
      <c r="D130" s="4">
        <v>298285</v>
      </c>
      <c r="E130" s="4">
        <f t="shared" si="1"/>
        <v>3324913</v>
      </c>
    </row>
    <row r="131" spans="1:5">
      <c r="A131" s="63" t="s">
        <v>39</v>
      </c>
      <c r="B131" s="2" t="s">
        <v>28</v>
      </c>
      <c r="C131" s="4">
        <v>90124575</v>
      </c>
      <c r="D131" s="4">
        <v>70765294</v>
      </c>
      <c r="E131" s="4">
        <f t="shared" si="1"/>
        <v>90124575</v>
      </c>
    </row>
    <row r="132" spans="1:5">
      <c r="A132" s="63" t="s">
        <v>39</v>
      </c>
      <c r="B132" s="2" t="s">
        <v>29</v>
      </c>
      <c r="C132" s="4">
        <v>126246233</v>
      </c>
      <c r="D132" s="4">
        <v>41815589</v>
      </c>
      <c r="E132" s="4">
        <f t="shared" si="1"/>
        <v>126246233</v>
      </c>
    </row>
    <row r="133" spans="1:5">
      <c r="A133" s="63" t="s">
        <v>39</v>
      </c>
      <c r="B133" s="2" t="s">
        <v>30</v>
      </c>
      <c r="C133" s="4">
        <v>105265562</v>
      </c>
      <c r="D133" s="4">
        <v>25902202</v>
      </c>
      <c r="E133" s="4">
        <f t="shared" ref="E133:E192" si="2">SUM(C133)</f>
        <v>105265562</v>
      </c>
    </row>
    <row r="134" spans="1:5">
      <c r="A134" s="63" t="s">
        <v>39</v>
      </c>
      <c r="B134" s="2" t="s">
        <v>31</v>
      </c>
      <c r="C134" s="4">
        <v>42305348</v>
      </c>
      <c r="D134" s="4">
        <v>6956012</v>
      </c>
      <c r="E134" s="4">
        <f t="shared" si="2"/>
        <v>42305348</v>
      </c>
    </row>
    <row r="135" spans="1:5">
      <c r="A135" s="63" t="s">
        <v>39</v>
      </c>
      <c r="B135" s="2" t="s">
        <v>32</v>
      </c>
      <c r="C135" s="4">
        <v>20753931</v>
      </c>
      <c r="D135" s="4">
        <v>2407612</v>
      </c>
      <c r="E135" s="4">
        <f t="shared" si="2"/>
        <v>20753931</v>
      </c>
    </row>
    <row r="136" spans="1:5">
      <c r="A136" s="63" t="s">
        <v>39</v>
      </c>
      <c r="B136" s="2" t="s">
        <v>33</v>
      </c>
      <c r="C136" s="4">
        <v>4814662</v>
      </c>
      <c r="D136" s="4">
        <v>4903404</v>
      </c>
      <c r="E136" s="4">
        <f t="shared" si="2"/>
        <v>4814662</v>
      </c>
    </row>
    <row r="137" spans="1:5">
      <c r="A137" s="63" t="s">
        <v>39</v>
      </c>
      <c r="B137" s="2" t="s">
        <v>34</v>
      </c>
      <c r="C137" s="4">
        <v>607845080</v>
      </c>
      <c r="D137" s="4">
        <v>378127360</v>
      </c>
      <c r="E137" s="4">
        <f t="shared" si="2"/>
        <v>607845080</v>
      </c>
    </row>
    <row r="138" spans="1:5">
      <c r="A138" s="63" t="s">
        <v>39</v>
      </c>
      <c r="B138" s="2" t="s">
        <v>35</v>
      </c>
      <c r="C138" s="4">
        <v>60883492</v>
      </c>
      <c r="D138" s="4">
        <v>20397724</v>
      </c>
      <c r="E138" s="4">
        <f t="shared" si="2"/>
        <v>60883492</v>
      </c>
    </row>
    <row r="139" spans="1:5">
      <c r="A139" s="63" t="s">
        <v>40</v>
      </c>
      <c r="B139" s="2" t="s">
        <v>9</v>
      </c>
      <c r="C139" s="4">
        <v>33203628</v>
      </c>
      <c r="D139" s="4">
        <v>21110012</v>
      </c>
      <c r="E139" s="4">
        <f t="shared" si="2"/>
        <v>33203628</v>
      </c>
    </row>
    <row r="140" spans="1:5">
      <c r="A140" s="63" t="s">
        <v>40</v>
      </c>
      <c r="B140" s="2" t="s">
        <v>10</v>
      </c>
      <c r="C140" s="4">
        <v>43669097</v>
      </c>
      <c r="D140" s="4">
        <v>37109073</v>
      </c>
      <c r="E140" s="4">
        <f t="shared" si="2"/>
        <v>43669097</v>
      </c>
    </row>
    <row r="141" spans="1:5">
      <c r="A141" s="63" t="s">
        <v>40</v>
      </c>
      <c r="B141" s="2" t="s">
        <v>11</v>
      </c>
      <c r="C141" s="4">
        <v>35712309</v>
      </c>
      <c r="D141" s="4">
        <v>9474791</v>
      </c>
      <c r="E141" s="4">
        <f t="shared" si="2"/>
        <v>35712309</v>
      </c>
    </row>
    <row r="142" spans="1:5">
      <c r="A142" s="63" t="s">
        <v>40</v>
      </c>
      <c r="B142" s="2" t="s">
        <v>12</v>
      </c>
      <c r="C142" s="4">
        <v>28766954</v>
      </c>
      <c r="D142" s="4">
        <v>6573617</v>
      </c>
      <c r="E142" s="4">
        <f t="shared" si="2"/>
        <v>28766954</v>
      </c>
    </row>
    <row r="143" spans="1:5">
      <c r="A143" s="63" t="s">
        <v>40</v>
      </c>
      <c r="B143" s="2" t="s">
        <v>13</v>
      </c>
      <c r="C143" s="4">
        <v>17942552</v>
      </c>
      <c r="D143" s="4">
        <v>3636790</v>
      </c>
      <c r="E143" s="4">
        <f t="shared" si="2"/>
        <v>17942552</v>
      </c>
    </row>
    <row r="144" spans="1:5">
      <c r="A144" s="63" t="s">
        <v>40</v>
      </c>
      <c r="B144" s="2" t="s">
        <v>14</v>
      </c>
      <c r="C144" s="4">
        <v>44752848</v>
      </c>
      <c r="D144" s="4">
        <v>41972594</v>
      </c>
      <c r="E144" s="4">
        <f t="shared" si="2"/>
        <v>44752848</v>
      </c>
    </row>
    <row r="145" spans="1:5">
      <c r="A145" s="63" t="s">
        <v>40</v>
      </c>
      <c r="B145" s="2" t="s">
        <v>15</v>
      </c>
      <c r="C145" s="4">
        <v>36427367</v>
      </c>
      <c r="D145" s="4">
        <v>29177932</v>
      </c>
      <c r="E145" s="4">
        <f t="shared" si="2"/>
        <v>36427367</v>
      </c>
    </row>
    <row r="146" spans="1:5">
      <c r="A146" s="63" t="s">
        <v>40</v>
      </c>
      <c r="B146" s="2" t="s">
        <v>16</v>
      </c>
      <c r="C146" s="4">
        <v>3161858</v>
      </c>
      <c r="D146" s="4">
        <v>2194241</v>
      </c>
      <c r="E146" s="4">
        <f t="shared" si="2"/>
        <v>3161858</v>
      </c>
    </row>
    <row r="147" spans="1:5">
      <c r="A147" s="63" t="s">
        <v>40</v>
      </c>
      <c r="B147" s="2" t="s">
        <v>17</v>
      </c>
      <c r="C147" s="4">
        <v>54482739</v>
      </c>
      <c r="D147" s="4">
        <v>16721019</v>
      </c>
      <c r="E147" s="4">
        <f t="shared" si="2"/>
        <v>54482739</v>
      </c>
    </row>
    <row r="148" spans="1:5">
      <c r="A148" s="63" t="s">
        <v>40</v>
      </c>
      <c r="B148" s="2" t="s">
        <v>18</v>
      </c>
      <c r="C148" s="4">
        <v>453957748</v>
      </c>
      <c r="D148" s="4">
        <v>124729784</v>
      </c>
      <c r="E148" s="4">
        <f t="shared" si="2"/>
        <v>453957748</v>
      </c>
    </row>
    <row r="149" spans="1:5">
      <c r="A149" s="63" t="s">
        <v>40</v>
      </c>
      <c r="B149" s="2" t="s">
        <v>19</v>
      </c>
      <c r="C149" s="4">
        <v>289930660</v>
      </c>
      <c r="D149" s="4">
        <v>397732593</v>
      </c>
      <c r="E149" s="4">
        <f t="shared" si="2"/>
        <v>289930660</v>
      </c>
    </row>
    <row r="150" spans="1:5">
      <c r="A150" s="63" t="s">
        <v>40</v>
      </c>
      <c r="B150" s="2" t="s">
        <v>20</v>
      </c>
      <c r="C150" s="4">
        <v>36116094</v>
      </c>
      <c r="D150" s="4">
        <v>20275549</v>
      </c>
      <c r="E150" s="4">
        <f t="shared" si="2"/>
        <v>36116094</v>
      </c>
    </row>
    <row r="151" spans="1:5">
      <c r="A151" s="63" t="s">
        <v>40</v>
      </c>
      <c r="B151" s="2" t="s">
        <v>21</v>
      </c>
      <c r="C151" s="4">
        <v>34969397</v>
      </c>
      <c r="D151" s="4">
        <v>14166697</v>
      </c>
      <c r="E151" s="4">
        <f t="shared" si="2"/>
        <v>34969397</v>
      </c>
    </row>
    <row r="152" spans="1:5">
      <c r="A152" s="63" t="s">
        <v>40</v>
      </c>
      <c r="B152" s="2" t="s">
        <v>22</v>
      </c>
      <c r="C152" s="4">
        <v>45610371</v>
      </c>
      <c r="D152" s="4">
        <v>9122563</v>
      </c>
      <c r="E152" s="4">
        <f t="shared" si="2"/>
        <v>45610371</v>
      </c>
    </row>
    <row r="153" spans="1:5">
      <c r="A153" s="63" t="s">
        <v>40</v>
      </c>
      <c r="B153" s="2" t="s">
        <v>23</v>
      </c>
      <c r="C153" s="4">
        <v>447780870</v>
      </c>
      <c r="D153" s="4">
        <v>74196154</v>
      </c>
      <c r="E153" s="4">
        <f t="shared" si="2"/>
        <v>447780870</v>
      </c>
    </row>
    <row r="154" spans="1:5">
      <c r="A154" s="63" t="s">
        <v>40</v>
      </c>
      <c r="B154" s="2" t="s">
        <v>24</v>
      </c>
      <c r="C154" s="4">
        <v>9695886</v>
      </c>
      <c r="D154" s="4">
        <v>3602506</v>
      </c>
      <c r="E154" s="4">
        <f t="shared" si="2"/>
        <v>9695886</v>
      </c>
    </row>
    <row r="155" spans="1:5">
      <c r="A155" s="63" t="s">
        <v>40</v>
      </c>
      <c r="B155" s="2" t="s">
        <v>25</v>
      </c>
      <c r="C155" s="4">
        <v>15239314</v>
      </c>
      <c r="D155" s="4">
        <v>5195526</v>
      </c>
      <c r="E155" s="4">
        <f t="shared" si="2"/>
        <v>15239314</v>
      </c>
    </row>
    <row r="156" spans="1:5">
      <c r="A156" s="63" t="s">
        <v>40</v>
      </c>
      <c r="B156" s="2" t="s">
        <v>26</v>
      </c>
      <c r="C156" s="4">
        <v>3484463</v>
      </c>
      <c r="D156" s="4">
        <v>1215690</v>
      </c>
      <c r="E156" s="4">
        <f t="shared" si="2"/>
        <v>3484463</v>
      </c>
    </row>
    <row r="157" spans="1:5">
      <c r="A157" s="63" t="s">
        <v>40</v>
      </c>
      <c r="B157" s="2" t="s">
        <v>27</v>
      </c>
      <c r="C157" s="4">
        <v>1933819</v>
      </c>
      <c r="D157" s="4">
        <v>325077</v>
      </c>
      <c r="E157" s="4">
        <f t="shared" si="2"/>
        <v>1933819</v>
      </c>
    </row>
    <row r="158" spans="1:5">
      <c r="A158" s="63" t="s">
        <v>40</v>
      </c>
      <c r="B158" s="2" t="s">
        <v>28</v>
      </c>
      <c r="C158" s="4">
        <v>69263668</v>
      </c>
      <c r="D158" s="4">
        <v>58053989</v>
      </c>
      <c r="E158" s="4">
        <f t="shared" si="2"/>
        <v>69263668</v>
      </c>
    </row>
    <row r="159" spans="1:5">
      <c r="A159" s="63" t="s">
        <v>40</v>
      </c>
      <c r="B159" s="2" t="s">
        <v>29</v>
      </c>
      <c r="C159" s="4">
        <v>184899076</v>
      </c>
      <c r="D159" s="4">
        <v>18678402</v>
      </c>
      <c r="E159" s="4">
        <f t="shared" si="2"/>
        <v>184899076</v>
      </c>
    </row>
    <row r="160" spans="1:5">
      <c r="A160" s="63" t="s">
        <v>40</v>
      </c>
      <c r="B160" s="2" t="s">
        <v>30</v>
      </c>
      <c r="C160" s="4">
        <v>95234903</v>
      </c>
      <c r="D160" s="4">
        <v>34974877</v>
      </c>
      <c r="E160" s="4">
        <f t="shared" si="2"/>
        <v>95234903</v>
      </c>
    </row>
    <row r="161" spans="1:5">
      <c r="A161" s="63" t="s">
        <v>40</v>
      </c>
      <c r="B161" s="2" t="s">
        <v>31</v>
      </c>
      <c r="C161" s="4">
        <v>46028086</v>
      </c>
      <c r="D161" s="4">
        <v>7179405</v>
      </c>
      <c r="E161" s="4">
        <f t="shared" si="2"/>
        <v>46028086</v>
      </c>
    </row>
    <row r="162" spans="1:5">
      <c r="A162" s="63" t="s">
        <v>40</v>
      </c>
      <c r="B162" s="2" t="s">
        <v>32</v>
      </c>
      <c r="C162" s="4">
        <v>21612340</v>
      </c>
      <c r="D162" s="4">
        <v>3537500</v>
      </c>
      <c r="E162" s="4">
        <f t="shared" si="2"/>
        <v>21612340</v>
      </c>
    </row>
    <row r="163" spans="1:5">
      <c r="A163" s="63" t="s">
        <v>40</v>
      </c>
      <c r="B163" s="2" t="s">
        <v>33</v>
      </c>
      <c r="C163" s="4">
        <v>8567064</v>
      </c>
      <c r="D163" s="4">
        <v>6352263</v>
      </c>
      <c r="E163" s="4">
        <f t="shared" si="2"/>
        <v>8567064</v>
      </c>
    </row>
    <row r="164" spans="1:5">
      <c r="A164" s="63" t="s">
        <v>40</v>
      </c>
      <c r="B164" s="2" t="s">
        <v>34</v>
      </c>
      <c r="C164" s="4">
        <v>631567593</v>
      </c>
      <c r="D164" s="4">
        <v>452046526</v>
      </c>
      <c r="E164" s="4">
        <f t="shared" si="2"/>
        <v>631567593</v>
      </c>
    </row>
    <row r="165" spans="1:5">
      <c r="A165" s="63" t="s">
        <v>40</v>
      </c>
      <c r="B165" s="2" t="s">
        <v>35</v>
      </c>
      <c r="C165" s="4">
        <v>58724389</v>
      </c>
      <c r="D165" s="4">
        <v>17525392</v>
      </c>
      <c r="E165" s="4">
        <f t="shared" si="2"/>
        <v>58724389</v>
      </c>
    </row>
    <row r="166" spans="1:5">
      <c r="A166" s="63" t="s">
        <v>41</v>
      </c>
      <c r="B166" s="2" t="s">
        <v>9</v>
      </c>
      <c r="C166" s="4">
        <v>9950940</v>
      </c>
      <c r="D166" s="4">
        <v>7220643</v>
      </c>
      <c r="E166" s="4">
        <f t="shared" si="2"/>
        <v>9950940</v>
      </c>
    </row>
    <row r="167" spans="1:5">
      <c r="A167" s="63" t="s">
        <v>41</v>
      </c>
      <c r="B167" s="2" t="s">
        <v>10</v>
      </c>
      <c r="C167" s="4">
        <v>25269082</v>
      </c>
      <c r="D167" s="4">
        <v>5498024</v>
      </c>
      <c r="E167" s="4">
        <f t="shared" si="2"/>
        <v>25269082</v>
      </c>
    </row>
    <row r="168" spans="1:5">
      <c r="A168" s="63" t="s">
        <v>41</v>
      </c>
      <c r="B168" s="2" t="s">
        <v>11</v>
      </c>
      <c r="C168" s="4">
        <v>20297295</v>
      </c>
      <c r="D168" s="4">
        <v>6760029</v>
      </c>
      <c r="E168" s="4">
        <f t="shared" si="2"/>
        <v>20297295</v>
      </c>
    </row>
    <row r="169" spans="1:5">
      <c r="A169" s="63" t="s">
        <v>41</v>
      </c>
      <c r="B169" s="2" t="s">
        <v>12</v>
      </c>
      <c r="C169" s="4">
        <v>16286976</v>
      </c>
      <c r="D169" s="4">
        <v>2011527</v>
      </c>
      <c r="E169" s="4">
        <f t="shared" si="2"/>
        <v>16286976</v>
      </c>
    </row>
    <row r="170" spans="1:5">
      <c r="A170" s="63" t="s">
        <v>41</v>
      </c>
      <c r="B170" s="2" t="s">
        <v>13</v>
      </c>
      <c r="C170" s="4">
        <v>9059846</v>
      </c>
      <c r="D170" s="4">
        <v>1219425</v>
      </c>
      <c r="E170" s="4">
        <f t="shared" si="2"/>
        <v>9059846</v>
      </c>
    </row>
    <row r="171" spans="1:5">
      <c r="A171" s="63" t="s">
        <v>41</v>
      </c>
      <c r="B171" s="2" t="s">
        <v>14</v>
      </c>
      <c r="C171" s="4">
        <v>30353791</v>
      </c>
      <c r="D171" s="4">
        <v>10341700</v>
      </c>
      <c r="E171" s="4">
        <f t="shared" si="2"/>
        <v>30353791</v>
      </c>
    </row>
    <row r="172" spans="1:5">
      <c r="A172" s="63" t="s">
        <v>41</v>
      </c>
      <c r="B172" s="2" t="s">
        <v>15</v>
      </c>
      <c r="C172" s="4">
        <v>34974729</v>
      </c>
      <c r="D172" s="4">
        <v>8444532</v>
      </c>
      <c r="E172" s="4">
        <f t="shared" si="2"/>
        <v>34974729</v>
      </c>
    </row>
    <row r="173" spans="1:5">
      <c r="A173" s="63" t="s">
        <v>41</v>
      </c>
      <c r="B173" s="2" t="s">
        <v>16</v>
      </c>
      <c r="C173" s="4">
        <v>1744924</v>
      </c>
      <c r="D173" s="4">
        <v>2159980</v>
      </c>
      <c r="E173" s="4">
        <f t="shared" si="2"/>
        <v>1744924</v>
      </c>
    </row>
    <row r="174" spans="1:5">
      <c r="A174" s="63" t="s">
        <v>41</v>
      </c>
      <c r="B174" s="2" t="s">
        <v>17</v>
      </c>
      <c r="C174" s="4">
        <v>10790673</v>
      </c>
      <c r="D174" s="4">
        <v>2459283</v>
      </c>
      <c r="E174" s="4">
        <f t="shared" si="2"/>
        <v>10790673</v>
      </c>
    </row>
    <row r="175" spans="1:5">
      <c r="A175" s="63" t="s">
        <v>41</v>
      </c>
      <c r="B175" s="2" t="s">
        <v>18</v>
      </c>
      <c r="C175" s="4">
        <v>384436486</v>
      </c>
      <c r="D175" s="4">
        <v>40382181</v>
      </c>
      <c r="E175" s="4">
        <f t="shared" si="2"/>
        <v>384436486</v>
      </c>
    </row>
    <row r="176" spans="1:5">
      <c r="A176" s="63" t="s">
        <v>41</v>
      </c>
      <c r="B176" s="2" t="s">
        <v>19</v>
      </c>
      <c r="C176" s="4">
        <v>162865676</v>
      </c>
      <c r="D176" s="4">
        <v>349934586</v>
      </c>
      <c r="E176" s="4">
        <f t="shared" si="2"/>
        <v>162865676</v>
      </c>
    </row>
    <row r="177" spans="1:5">
      <c r="A177" s="63" t="s">
        <v>41</v>
      </c>
      <c r="B177" s="2" t="s">
        <v>20</v>
      </c>
      <c r="C177" s="4">
        <v>30293028</v>
      </c>
      <c r="D177" s="4">
        <v>2413181</v>
      </c>
      <c r="E177" s="4">
        <f t="shared" si="2"/>
        <v>30293028</v>
      </c>
    </row>
    <row r="178" spans="1:5">
      <c r="A178" s="63" t="s">
        <v>41</v>
      </c>
      <c r="B178" s="2" t="s">
        <v>21</v>
      </c>
      <c r="C178" s="4">
        <v>17299751</v>
      </c>
      <c r="D178" s="4">
        <v>2340419</v>
      </c>
      <c r="E178" s="4">
        <f t="shared" si="2"/>
        <v>17299751</v>
      </c>
    </row>
    <row r="179" spans="1:5">
      <c r="A179" s="63" t="s">
        <v>41</v>
      </c>
      <c r="B179" s="2" t="s">
        <v>22</v>
      </c>
      <c r="C179" s="4">
        <v>15987678</v>
      </c>
      <c r="D179" s="4">
        <v>5367095</v>
      </c>
      <c r="E179" s="4">
        <f t="shared" si="2"/>
        <v>15987678</v>
      </c>
    </row>
    <row r="180" spans="1:5">
      <c r="A180" s="63" t="s">
        <v>41</v>
      </c>
      <c r="B180" s="2" t="s">
        <v>23</v>
      </c>
      <c r="C180" s="4">
        <v>406298263</v>
      </c>
      <c r="D180" s="4">
        <v>55690043</v>
      </c>
      <c r="E180" s="4">
        <f t="shared" si="2"/>
        <v>406298263</v>
      </c>
    </row>
    <row r="181" spans="1:5">
      <c r="A181" s="63" t="s">
        <v>41</v>
      </c>
      <c r="B181" s="2" t="s">
        <v>24</v>
      </c>
      <c r="C181" s="4">
        <v>3822841</v>
      </c>
      <c r="D181" s="4">
        <v>2873792</v>
      </c>
      <c r="E181" s="4">
        <f t="shared" si="2"/>
        <v>3822841</v>
      </c>
    </row>
    <row r="182" spans="1:5">
      <c r="A182" s="63" t="s">
        <v>41</v>
      </c>
      <c r="B182" s="2" t="s">
        <v>25</v>
      </c>
      <c r="C182" s="4">
        <v>11894768</v>
      </c>
      <c r="D182" s="4">
        <v>2754977</v>
      </c>
      <c r="E182" s="4">
        <f t="shared" si="2"/>
        <v>11894768</v>
      </c>
    </row>
    <row r="183" spans="1:5">
      <c r="A183" s="63" t="s">
        <v>41</v>
      </c>
      <c r="B183" s="2" t="s">
        <v>26</v>
      </c>
      <c r="C183" s="4">
        <v>2821375</v>
      </c>
      <c r="D183" s="4">
        <v>640527</v>
      </c>
      <c r="E183" s="4">
        <f t="shared" si="2"/>
        <v>2821375</v>
      </c>
    </row>
    <row r="184" spans="1:5">
      <c r="A184" s="63" t="s">
        <v>41</v>
      </c>
      <c r="B184" s="2" t="s">
        <v>27</v>
      </c>
      <c r="C184" s="4">
        <v>1301282</v>
      </c>
      <c r="D184" s="4">
        <v>149144</v>
      </c>
      <c r="E184" s="4">
        <f t="shared" si="2"/>
        <v>1301282</v>
      </c>
    </row>
    <row r="185" spans="1:5">
      <c r="A185" s="63" t="s">
        <v>41</v>
      </c>
      <c r="B185" s="2" t="s">
        <v>28</v>
      </c>
      <c r="C185" s="4">
        <v>41784744</v>
      </c>
      <c r="D185" s="4">
        <v>7720626</v>
      </c>
      <c r="E185" s="4">
        <f t="shared" si="2"/>
        <v>41784744</v>
      </c>
    </row>
    <row r="186" spans="1:5">
      <c r="A186" s="63" t="s">
        <v>41</v>
      </c>
      <c r="B186" s="2" t="s">
        <v>29</v>
      </c>
      <c r="C186" s="4">
        <v>123295250</v>
      </c>
      <c r="D186" s="4">
        <v>18467585</v>
      </c>
      <c r="E186" s="4">
        <f t="shared" si="2"/>
        <v>123295250</v>
      </c>
    </row>
    <row r="187" spans="1:5">
      <c r="A187" s="63" t="s">
        <v>41</v>
      </c>
      <c r="B187" s="2" t="s">
        <v>30</v>
      </c>
      <c r="C187" s="4">
        <v>45109787</v>
      </c>
      <c r="D187" s="4">
        <v>14335951</v>
      </c>
      <c r="E187" s="4">
        <f t="shared" si="2"/>
        <v>45109787</v>
      </c>
    </row>
    <row r="188" spans="1:5">
      <c r="A188" s="63" t="s">
        <v>41</v>
      </c>
      <c r="B188" s="2" t="s">
        <v>31</v>
      </c>
      <c r="C188" s="4">
        <v>48811465</v>
      </c>
      <c r="D188" s="4">
        <v>1563754</v>
      </c>
      <c r="E188" s="4">
        <f t="shared" si="2"/>
        <v>48811465</v>
      </c>
    </row>
    <row r="189" spans="1:5">
      <c r="A189" s="63" t="s">
        <v>41</v>
      </c>
      <c r="B189" s="2" t="s">
        <v>32</v>
      </c>
      <c r="C189" s="4">
        <v>5020061</v>
      </c>
      <c r="D189" s="4">
        <v>1531157</v>
      </c>
      <c r="E189" s="4">
        <f t="shared" si="2"/>
        <v>5020061</v>
      </c>
    </row>
    <row r="190" spans="1:5">
      <c r="A190" s="63" t="s">
        <v>41</v>
      </c>
      <c r="B190" s="2" t="s">
        <v>33</v>
      </c>
      <c r="C190" s="4">
        <v>4904333</v>
      </c>
      <c r="D190" s="4">
        <v>876713</v>
      </c>
      <c r="E190" s="4">
        <f t="shared" si="2"/>
        <v>4904333</v>
      </c>
    </row>
    <row r="191" spans="1:5">
      <c r="A191" s="63" t="s">
        <v>41</v>
      </c>
      <c r="B191" s="2" t="s">
        <v>34</v>
      </c>
      <c r="C191" s="4">
        <v>287460651</v>
      </c>
      <c r="D191" s="4">
        <v>94095922</v>
      </c>
      <c r="E191" s="4">
        <f t="shared" si="2"/>
        <v>287460651</v>
      </c>
    </row>
    <row r="192" spans="1:5">
      <c r="A192" s="63" t="s">
        <v>41</v>
      </c>
      <c r="B192" s="2" t="s">
        <v>35</v>
      </c>
      <c r="C192" s="4">
        <v>52286959</v>
      </c>
      <c r="D192" s="4">
        <v>7356079</v>
      </c>
      <c r="E192" s="4">
        <f t="shared" si="2"/>
        <v>52286959</v>
      </c>
    </row>
    <row r="194" spans="1:1">
      <c r="A194" t="s">
        <v>42</v>
      </c>
    </row>
  </sheetData>
  <mergeCells count="10">
    <mergeCell ref="A58:A84"/>
    <mergeCell ref="A85:A111"/>
    <mergeCell ref="A112:A138"/>
    <mergeCell ref="A139:A165"/>
    <mergeCell ref="A166:A192"/>
    <mergeCell ref="A1:B1"/>
    <mergeCell ref="A2:B2"/>
    <mergeCell ref="C1:D1"/>
    <mergeCell ref="A4:A30"/>
    <mergeCell ref="A31:A5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13B702-0D2E-4540-A5BE-6591191F4782}">
  <dimension ref="A1:I35"/>
  <sheetViews>
    <sheetView tabSelected="1" workbookViewId="0">
      <selection activeCell="B2" sqref="B2"/>
    </sheetView>
  </sheetViews>
  <sheetFormatPr baseColWidth="10" defaultRowHeight="16"/>
  <cols>
    <col min="1" max="1" width="21" bestFit="1" customWidth="1"/>
    <col min="2" max="2" width="29.33203125" style="30" bestFit="1" customWidth="1"/>
    <col min="3" max="3" width="17.5" bestFit="1" customWidth="1"/>
    <col min="4" max="4" width="20.5" bestFit="1" customWidth="1"/>
    <col min="5" max="5" width="19.5" bestFit="1" customWidth="1"/>
    <col min="6" max="6" width="20.6640625" bestFit="1" customWidth="1"/>
    <col min="7" max="8" width="14.83203125" bestFit="1" customWidth="1"/>
    <col min="9" max="9" width="14.1640625" bestFit="1" customWidth="1"/>
  </cols>
  <sheetData>
    <row r="1" spans="1:9">
      <c r="A1" s="1" t="s">
        <v>6</v>
      </c>
      <c r="B1" s="30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</row>
    <row r="2" spans="1:9" s="50" customFormat="1">
      <c r="A2" s="47" t="s">
        <v>9</v>
      </c>
      <c r="B2" s="48">
        <f>'BSO data'!E4+'BSO data'!E31+'BSO data'!E58+'BSO data'!E85+'BSO data'!E112+'BSO data'!E139+'BSO data'!E166</f>
        <v>480479871</v>
      </c>
      <c r="C2" s="49">
        <f>'BSO data'!E4/heat_spec_distribution!B2</f>
        <v>0.22666895862532396</v>
      </c>
      <c r="D2" s="49">
        <f>'BSO data'!E31/heat_spec_distribution!B2</f>
        <v>0.26568904694032436</v>
      </c>
      <c r="E2" s="49">
        <f>'BSO data'!E58/heat_spec_distribution!B2</f>
        <v>0.15349736472102907</v>
      </c>
      <c r="F2" s="49">
        <f>'BSO data'!E85/heat_spec_distribution!B2</f>
        <v>0.12312471254388928</v>
      </c>
      <c r="G2" s="49">
        <f>'BSO data'!E112/heat_spec_distribution!B2</f>
        <v>0.14120435859008129</v>
      </c>
      <c r="H2" s="49">
        <f>'BSO data'!E139/heat_spec_distribution!B2</f>
        <v>6.9105138433572383E-2</v>
      </c>
      <c r="I2" s="49">
        <f>'BSO data'!E166/heat_spec_distribution!B2</f>
        <v>2.0710420145779635E-2</v>
      </c>
    </row>
    <row r="3" spans="1:9" s="50" customFormat="1">
      <c r="A3" s="47" t="s">
        <v>10</v>
      </c>
      <c r="B3" s="48">
        <f>'BSO data'!E5+'BSO data'!E32+'BSO data'!E59+'BSO data'!E86+'BSO data'!E113+'BSO data'!E140+'BSO data'!E167</f>
        <v>693785280</v>
      </c>
      <c r="C3" s="49">
        <f>'BSO data'!E5/heat_spec_distribution!B3</f>
        <v>0.41184463729181453</v>
      </c>
      <c r="D3" s="49">
        <f>'BSO data'!E32/heat_spec_distribution!B3</f>
        <v>0.21794056512700874</v>
      </c>
      <c r="E3" s="49">
        <f>'BSO data'!E59/heat_spec_distribution!B3</f>
        <v>0.12174735099597385</v>
      </c>
      <c r="F3" s="49">
        <f>'BSO data'!E86/heat_spec_distribution!B3</f>
        <v>8.4841144222604428E-2</v>
      </c>
      <c r="G3" s="49">
        <f>'BSO data'!E113/heat_spec_distribution!B3</f>
        <v>6.4261007382572316E-2</v>
      </c>
      <c r="H3" s="49">
        <f>'BSO data'!E140/heat_spec_distribution!B3</f>
        <v>6.2943245206932036E-2</v>
      </c>
      <c r="I3" s="49">
        <f>'BSO data'!E167/heat_spec_distribution!B3</f>
        <v>3.6422049773094059E-2</v>
      </c>
    </row>
    <row r="4" spans="1:9" s="54" customFormat="1">
      <c r="A4" s="51" t="s">
        <v>11</v>
      </c>
      <c r="B4" s="52">
        <f>'BSO data'!E6+'BSO data'!E33+'BSO data'!E60+'BSO data'!E87+'BSO data'!E114+'BSO data'!E141+'BSO data'!E168</f>
        <v>321201659</v>
      </c>
      <c r="C4" s="53">
        <f>'BSO data'!E6/heat_spec_distribution!B4</f>
        <v>0.20838025310448349</v>
      </c>
      <c r="D4" s="53">
        <f>'BSO data'!E33/heat_spec_distribution!B4</f>
        <v>0.22674848637690256</v>
      </c>
      <c r="E4" s="53">
        <f>'BSO data'!E60/heat_spec_distribution!B4</f>
        <v>0.14595338375883046</v>
      </c>
      <c r="F4" s="53">
        <f>'BSO data'!E87/heat_spec_distribution!B4</f>
        <v>0.13737596230784099</v>
      </c>
      <c r="G4" s="53">
        <f>'BSO data'!E114/heat_spec_distribution!B4</f>
        <v>0.10716671298388282</v>
      </c>
      <c r="H4" s="53">
        <f>'BSO data'!E141/heat_spec_distribution!B4</f>
        <v>0.11118345126604716</v>
      </c>
      <c r="I4" s="53">
        <f>'BSO data'!E168/heat_spec_distribution!B4</f>
        <v>6.3191750202012495E-2</v>
      </c>
    </row>
    <row r="5" spans="1:9" s="54" customFormat="1">
      <c r="A5" s="51" t="s">
        <v>12</v>
      </c>
      <c r="B5" s="52">
        <f>'BSO data'!E7+'BSO data'!E34+'BSO data'!E61+'BSO data'!E88+'BSO data'!E115+'BSO data'!E142+'BSO data'!E169</f>
        <v>182977135</v>
      </c>
      <c r="C5" s="53">
        <f>'BSO data'!E7/heat_spec_distribution!B5</f>
        <v>0.12959707233365525</v>
      </c>
      <c r="D5" s="53">
        <f>'BSO data'!E34/heat_spec_distribution!B5</f>
        <v>0.17113553013058161</v>
      </c>
      <c r="E5" s="53">
        <f>'BSO data'!E61/heat_spec_distribution!B5</f>
        <v>0.18395604456261708</v>
      </c>
      <c r="F5" s="53">
        <f>'BSO data'!E88/heat_spec_distribution!B5</f>
        <v>0.14058608470397135</v>
      </c>
      <c r="G5" s="53">
        <f>'BSO data'!E115/heat_spec_distribution!B5</f>
        <v>0.12849816453842716</v>
      </c>
      <c r="H5" s="53">
        <f>'BSO data'!E142/heat_spec_distribution!B5</f>
        <v>0.15721611336848179</v>
      </c>
      <c r="I5" s="53">
        <f>'BSO data'!E169/heat_spec_distribution!B5</f>
        <v>8.9010990362265757E-2</v>
      </c>
    </row>
    <row r="6" spans="1:9">
      <c r="A6" s="2" t="s">
        <v>13</v>
      </c>
      <c r="B6" s="31">
        <f>'BSO data'!E8+'BSO data'!E35+'BSO data'!E62+'BSO data'!E89+'BSO data'!E116+'BSO data'!E143+'BSO data'!E170</f>
        <v>92282979</v>
      </c>
      <c r="C6" s="34">
        <f>'BSO data'!E8/heat_spec_distribution!B6</f>
        <v>7.8510631955216792E-2</v>
      </c>
      <c r="D6" s="34">
        <f>'BSO data'!E35/heat_spec_distribution!B6</f>
        <v>0.32212068056450582</v>
      </c>
      <c r="E6" s="34">
        <f>'BSO data'!E62/heat_spec_distribution!B6</f>
        <v>0.17328696118490064</v>
      </c>
      <c r="F6" s="34">
        <f>'BSO data'!E89/heat_spec_distribution!B6</f>
        <v>7.2024387075757493E-2</v>
      </c>
      <c r="G6" s="34">
        <f>'BSO data'!E116/heat_spec_distribution!B6</f>
        <v>6.1453022664125306E-2</v>
      </c>
      <c r="H6" s="34">
        <f>'BSO data'!E143/heat_spec_distribution!B6</f>
        <v>0.19442970084439948</v>
      </c>
      <c r="I6" s="34">
        <f>'BSO data'!E170/heat_spec_distribution!B6</f>
        <v>9.8174615711094454E-2</v>
      </c>
    </row>
    <row r="7" spans="1:9" s="54" customFormat="1">
      <c r="A7" s="51" t="s">
        <v>14</v>
      </c>
      <c r="B7" s="52">
        <f>'BSO data'!E9+'BSO data'!E36+'BSO data'!E63+'BSO data'!E90+'BSO data'!E117+'BSO data'!E144+'BSO data'!E171</f>
        <v>387472106</v>
      </c>
      <c r="C7" s="53">
        <f>'BSO data'!E9/heat_spec_distribution!B7</f>
        <v>0.17846249556864877</v>
      </c>
      <c r="D7" s="53">
        <f>'BSO data'!E36/heat_spec_distribution!B7</f>
        <v>0.20868347359177386</v>
      </c>
      <c r="E7" s="53">
        <f>'BSO data'!E63/heat_spec_distribution!B7</f>
        <v>0.20364145387023033</v>
      </c>
      <c r="F7" s="53">
        <f>'BSO data'!E90/heat_spec_distribution!B7</f>
        <v>0.12788671037909499</v>
      </c>
      <c r="G7" s="53">
        <f>'BSO data'!E117/heat_spec_distribution!B7</f>
        <v>8.7488328772755586E-2</v>
      </c>
      <c r="H7" s="53">
        <f>'BSO data'!E144/heat_spec_distribution!B7</f>
        <v>0.11549953482328867</v>
      </c>
      <c r="I7" s="53">
        <f>'BSO data'!E171/heat_spec_distribution!B7</f>
        <v>7.8338002994207789E-2</v>
      </c>
    </row>
    <row r="8" spans="1:9" s="58" customFormat="1">
      <c r="A8" s="55" t="s">
        <v>15</v>
      </c>
      <c r="B8" s="56">
        <f>'BSO data'!E10+'BSO data'!E37+'BSO data'!E64+'BSO data'!E91+'BSO data'!E118+'BSO data'!E145+'BSO data'!E172</f>
        <v>341768565</v>
      </c>
      <c r="C8" s="57">
        <f>'BSO data'!E10/heat_spec_distribution!B8</f>
        <v>0.20636317152222586</v>
      </c>
      <c r="D8" s="57">
        <f>'BSO data'!E37/heat_spec_distribution!B8</f>
        <v>0.18265735469264122</v>
      </c>
      <c r="E8" s="57">
        <f>'BSO data'!E64/heat_spec_distribution!B8</f>
        <v>0.2005475576725437</v>
      </c>
      <c r="F8" s="57">
        <f>'BSO data'!E91/heat_spec_distribution!B8</f>
        <v>0.10100399081466138</v>
      </c>
      <c r="G8" s="57">
        <f>'BSO data'!E118/heat_spec_distribution!B8</f>
        <v>0.10050848883659035</v>
      </c>
      <c r="H8" s="57">
        <f>'BSO data'!E145/heat_spec_distribution!B8</f>
        <v>0.10658489612700336</v>
      </c>
      <c r="I8" s="57">
        <f>'BSO data'!E172/heat_spec_distribution!B8</f>
        <v>0.10233454033433415</v>
      </c>
    </row>
    <row r="9" spans="1:9" s="58" customFormat="1">
      <c r="A9" s="55" t="s">
        <v>16</v>
      </c>
      <c r="B9" s="56">
        <f>'BSO data'!E11+'BSO data'!E38+'BSO data'!E65+'BSO data'!E92+'BSO data'!E119+'BSO data'!E146+'BSO data'!E173</f>
        <v>27472583</v>
      </c>
      <c r="C9" s="57">
        <f>'BSO data'!E11/heat_spec_distribution!B9</f>
        <v>0.33061416176265623</v>
      </c>
      <c r="D9" s="57">
        <f>'BSO data'!E38/heat_spec_distribution!B9</f>
        <v>0.21114669123030769</v>
      </c>
      <c r="E9" s="57">
        <f>'BSO data'!E65/heat_spec_distribution!B9</f>
        <v>8.5552712680857124E-2</v>
      </c>
      <c r="F9" s="57">
        <f>'BSO data'!E92/heat_spec_distribution!B9</f>
        <v>7.6144096097552974E-2</v>
      </c>
      <c r="G9" s="57">
        <f>'BSO data'!E119/heat_spec_distribution!B9</f>
        <v>0.11793583442809145</v>
      </c>
      <c r="H9" s="57">
        <f>'BSO data'!E146/heat_spec_distribution!B9</f>
        <v>0.11509139857726519</v>
      </c>
      <c r="I9" s="57">
        <f>'BSO data'!E173/heat_spec_distribution!B9</f>
        <v>6.3515105223269322E-2</v>
      </c>
    </row>
    <row r="10" spans="1:9" s="58" customFormat="1">
      <c r="A10" s="55" t="s">
        <v>17</v>
      </c>
      <c r="B10" s="56">
        <f>'BSO data'!E12+'BSO data'!E39+'BSO data'!E66+'BSO data'!E93+'BSO data'!E120+'BSO data'!E147+'BSO data'!E174</f>
        <v>406877934</v>
      </c>
      <c r="C10" s="57">
        <f>'BSO data'!E12/heat_spec_distribution!B10</f>
        <v>0.1468123164427983</v>
      </c>
      <c r="D10" s="57">
        <f>'BSO data'!E39/heat_spec_distribution!B10</f>
        <v>0.23466125100802346</v>
      </c>
      <c r="E10" s="57">
        <f>'BSO data'!E66/heat_spec_distribution!B10</f>
        <v>0.14795197765627663</v>
      </c>
      <c r="F10" s="57">
        <f>'BSO data'!E93/heat_spec_distribution!B10</f>
        <v>0.1867312543913969</v>
      </c>
      <c r="G10" s="57">
        <f>'BSO data'!E120/heat_spec_distribution!B10</f>
        <v>0.12341815272783999</v>
      </c>
      <c r="H10" s="57">
        <f>'BSO data'!E147/heat_spec_distribution!B10</f>
        <v>0.13390438371622287</v>
      </c>
      <c r="I10" s="57">
        <f>'BSO data'!E174/heat_spec_distribution!B10</f>
        <v>2.6520664057441856E-2</v>
      </c>
    </row>
    <row r="11" spans="1:9" s="50" customFormat="1">
      <c r="A11" s="47" t="s">
        <v>18</v>
      </c>
      <c r="B11" s="48">
        <f>'BSO data'!E13+'BSO data'!E40+'BSO data'!E67+'BSO data'!E94+'BSO data'!E121+'BSO data'!E148+'BSO data'!E175</f>
        <v>3087013302</v>
      </c>
      <c r="C11" s="49">
        <f>'BSO data'!E13/heat_spec_distribution!B11</f>
        <v>0.18269552406353706</v>
      </c>
      <c r="D11" s="49">
        <f>'BSO data'!E40/heat_spec_distribution!B11</f>
        <v>0.14157617873458714</v>
      </c>
      <c r="E11" s="49">
        <f>'BSO data'!E67/heat_spec_distribution!B11</f>
        <v>0.15598287046189088</v>
      </c>
      <c r="F11" s="49">
        <f>'BSO data'!E94/heat_spec_distribution!B11</f>
        <v>0.14948863151999467</v>
      </c>
      <c r="G11" s="49">
        <f>'BSO data'!E121/heat_spec_distribution!B11</f>
        <v>9.8669292355384866E-2</v>
      </c>
      <c r="H11" s="49">
        <f>'BSO data'!E148/heat_spec_distribution!B11</f>
        <v>0.14705403041376333</v>
      </c>
      <c r="I11" s="49">
        <f>'BSO data'!E175/heat_spec_distribution!B11</f>
        <v>0.12453347245084206</v>
      </c>
    </row>
    <row r="12" spans="1:9" s="50" customFormat="1">
      <c r="A12" s="47" t="s">
        <v>19</v>
      </c>
      <c r="B12" s="48">
        <f>'BSO data'!E14+'BSO data'!E41+'BSO data'!E68+'BSO data'!E95+'BSO data'!E122+'BSO data'!E149+'BSO data'!E176</f>
        <v>3808633334</v>
      </c>
      <c r="C12" s="49">
        <f>'BSO data'!E14/heat_spec_distribution!B12</f>
        <v>0.21393039616766638</v>
      </c>
      <c r="D12" s="49">
        <f>'BSO data'!E41/heat_spec_distribution!B12</f>
        <v>0.30219612550395225</v>
      </c>
      <c r="E12" s="49">
        <f>'BSO data'!E68/heat_spec_distribution!B12</f>
        <v>0.15222688748330951</v>
      </c>
      <c r="F12" s="49">
        <f>'BSO data'!E95/heat_spec_distribution!B12</f>
        <v>0.10735819627209092</v>
      </c>
      <c r="G12" s="49">
        <f>'BSO data'!E122/heat_spec_distribution!B12</f>
        <v>0.10540156659774695</v>
      </c>
      <c r="H12" s="49">
        <f>'BSO data'!E149/heat_spec_distribution!B12</f>
        <v>7.6124592360142379E-2</v>
      </c>
      <c r="I12" s="49">
        <f>'BSO data'!E176/heat_spec_distribution!B12</f>
        <v>4.2762235615091633E-2</v>
      </c>
    </row>
    <row r="13" spans="1:9" s="46" customFormat="1">
      <c r="A13" s="43" t="s">
        <v>20</v>
      </c>
      <c r="B13" s="44">
        <f>'BSO data'!E15+'BSO data'!E42+'BSO data'!E69+'BSO data'!E96+'BSO data'!E123+'BSO data'!E150+'BSO data'!E177</f>
        <v>574209913</v>
      </c>
      <c r="C13" s="45">
        <f>'BSO data'!E15/heat_spec_distribution!B13</f>
        <v>8.1583819678849742E-2</v>
      </c>
      <c r="D13" s="45">
        <f>'BSO data'!E42/heat_spec_distribution!B13</f>
        <v>0.22652043800574373</v>
      </c>
      <c r="E13" s="45">
        <f>'BSO data'!E69/heat_spec_distribution!B13</f>
        <v>0.19074206056069951</v>
      </c>
      <c r="F13" s="45">
        <f>'BSO data'!E96/heat_spec_distribution!B13</f>
        <v>0.22318758018376461</v>
      </c>
      <c r="G13" s="45">
        <f>'BSO data'!E123/heat_spec_distribution!B13</f>
        <v>0.16231306163465695</v>
      </c>
      <c r="H13" s="45">
        <f>'BSO data'!E150/heat_spec_distribution!B13</f>
        <v>6.2897022817507503E-2</v>
      </c>
      <c r="I13" s="45">
        <f>'BSO data'!E177/heat_spec_distribution!B13</f>
        <v>5.2756017118777955E-2</v>
      </c>
    </row>
    <row r="14" spans="1:9" s="46" customFormat="1">
      <c r="A14" s="43" t="s">
        <v>21</v>
      </c>
      <c r="B14" s="44">
        <f>'BSO data'!E16+'BSO data'!E43+'BSO data'!E70+'BSO data'!E97+'BSO data'!E124+'BSO data'!E151+'BSO data'!E178</f>
        <v>303186314</v>
      </c>
      <c r="C14" s="45">
        <f>'BSO data'!E16/heat_spec_distribution!B14</f>
        <v>0.20544255503564715</v>
      </c>
      <c r="D14" s="45">
        <f>'BSO data'!E43/heat_spec_distribution!B14</f>
        <v>0.20073883678007973</v>
      </c>
      <c r="E14" s="45">
        <f>'BSO data'!E70/heat_spec_distribution!B14</f>
        <v>0.12257828366223682</v>
      </c>
      <c r="F14" s="45">
        <f>'BSO data'!E97/heat_spec_distribution!B14</f>
        <v>0.21237138032556444</v>
      </c>
      <c r="G14" s="45">
        <f>'BSO data'!E124/heat_spec_distribution!B14</f>
        <v>8.6469513264375117E-2</v>
      </c>
      <c r="H14" s="45">
        <f>'BSO data'!E151/heat_spec_distribution!B14</f>
        <v>0.11533962908365317</v>
      </c>
      <c r="I14" s="45">
        <f>'BSO data'!E178/heat_spec_distribution!B14</f>
        <v>5.7059801848443593E-2</v>
      </c>
    </row>
    <row r="15" spans="1:9" s="50" customFormat="1">
      <c r="A15" s="47" t="s">
        <v>22</v>
      </c>
      <c r="B15" s="48">
        <f>'BSO data'!E17+'BSO data'!E44+'BSO data'!E71+'BSO data'!E98+'BSO data'!E125+'BSO data'!E152+'BSO data'!E179</f>
        <v>217462313</v>
      </c>
      <c r="C15" s="49">
        <f>'BSO data'!E17/heat_spec_distribution!B15</f>
        <v>0.1617146737513088</v>
      </c>
      <c r="D15" s="49">
        <f>'BSO data'!E44/heat_spec_distribution!B15</f>
        <v>0.16327420374674301</v>
      </c>
      <c r="E15" s="49">
        <f>'BSO data'!E71/heat_spec_distribution!B15</f>
        <v>0.12603845982269121</v>
      </c>
      <c r="F15" s="49">
        <f>'BSO data'!E98/heat_spec_distribution!B15</f>
        <v>0.16483846099806729</v>
      </c>
      <c r="G15" s="49">
        <f>'BSO data'!E125/heat_spec_distribution!B15</f>
        <v>0.10087569978159848</v>
      </c>
      <c r="H15" s="49">
        <f>'BSO data'!E152/heat_spec_distribution!B15</f>
        <v>0.20973919743049915</v>
      </c>
      <c r="I15" s="49">
        <f>'BSO data'!E179/heat_spec_distribution!B15</f>
        <v>7.3519304469092078E-2</v>
      </c>
    </row>
    <row r="16" spans="1:9" s="46" customFormat="1">
      <c r="A16" s="43" t="s">
        <v>23</v>
      </c>
      <c r="B16" s="44">
        <f>'BSO data'!E18+'BSO data'!E45+'BSO data'!E72+'BSO data'!E99+'BSO data'!E126+'BSO data'!E153+'BSO data'!E180</f>
        <v>3364341562</v>
      </c>
      <c r="C16" s="45">
        <f>'BSO data'!E18/heat_spec_distribution!B16</f>
        <v>0.15925062634885939</v>
      </c>
      <c r="D16" s="45">
        <f>'BSO data'!E45/heat_spec_distribution!B16</f>
        <v>0.1517495220361933</v>
      </c>
      <c r="E16" s="45">
        <f>'BSO data'!E72/heat_spec_distribution!B16</f>
        <v>0.15498601416974678</v>
      </c>
      <c r="F16" s="45">
        <f>'BSO data'!E99/heat_spec_distribution!B16</f>
        <v>0.14489866085719391</v>
      </c>
      <c r="G16" s="45">
        <f>'BSO data'!E126/heat_spec_distribution!B16</f>
        <v>0.13525298178389891</v>
      </c>
      <c r="H16" s="45">
        <f>'BSO data'!E153/heat_spec_distribution!B16</f>
        <v>0.13309613835219744</v>
      </c>
      <c r="I16" s="45">
        <f>'BSO data'!E180/heat_spec_distribution!B16</f>
        <v>0.12076605645191028</v>
      </c>
    </row>
    <row r="17" spans="1:9" s="58" customFormat="1">
      <c r="A17" s="55" t="s">
        <v>24</v>
      </c>
      <c r="B17" s="56">
        <f>'BSO data'!E19+'BSO data'!E46+'BSO data'!E73+'BSO data'!E100+'BSO data'!E127+'BSO data'!E154+'BSO data'!E181</f>
        <v>63608302</v>
      </c>
      <c r="C17" s="57">
        <f>'BSO data'!E19/heat_spec_distribution!B17</f>
        <v>0.24212888122685622</v>
      </c>
      <c r="D17" s="57">
        <f>'BSO data'!E46/heat_spec_distribution!B17</f>
        <v>0.13399631387739291</v>
      </c>
      <c r="E17" s="57">
        <f>'BSO data'!E73/heat_spec_distribution!B17</f>
        <v>0.13207029170500417</v>
      </c>
      <c r="F17" s="57">
        <f>'BSO data'!E100/heat_spec_distribution!B17</f>
        <v>0.14004954887806942</v>
      </c>
      <c r="G17" s="57">
        <f>'BSO data'!E127/heat_spec_distribution!B17</f>
        <v>0.13922410631241186</v>
      </c>
      <c r="H17" s="57">
        <f>'BSO data'!E154/heat_spec_distribution!B17</f>
        <v>0.15243114019927775</v>
      </c>
      <c r="I17" s="57">
        <f>'BSO data'!E181/heat_spec_distribution!B17</f>
        <v>6.0099717800987676E-2</v>
      </c>
    </row>
    <row r="18" spans="1:9" s="58" customFormat="1">
      <c r="A18" s="55" t="s">
        <v>25</v>
      </c>
      <c r="B18" s="56">
        <f>'BSO data'!E20+'BSO data'!E47+'BSO data'!E74+'BSO data'!E101+'BSO data'!E128+'BSO data'!E155+'BSO data'!E182</f>
        <v>129003573</v>
      </c>
      <c r="C18" s="57">
        <f>'BSO data'!E20/heat_spec_distribution!B18</f>
        <v>0.17483378541771089</v>
      </c>
      <c r="D18" s="57">
        <f>'BSO data'!E47/heat_spec_distribution!B18</f>
        <v>0.2079104506663548</v>
      </c>
      <c r="E18" s="57">
        <f>'BSO data'!E74/heat_spec_distribution!B18</f>
        <v>0.14648236138389747</v>
      </c>
      <c r="F18" s="57">
        <f>'BSO data'!E101/heat_spec_distribution!B18</f>
        <v>0.14648236138389747</v>
      </c>
      <c r="G18" s="57">
        <f>'BSO data'!E128/heat_spec_distribution!B18</f>
        <v>0.11395514603304825</v>
      </c>
      <c r="H18" s="57">
        <f>'BSO data'!E155/heat_spec_distribution!B18</f>
        <v>0.11813094510180737</v>
      </c>
      <c r="I18" s="57">
        <f>'BSO data'!E182/heat_spec_distribution!B18</f>
        <v>9.2204950013283743E-2</v>
      </c>
    </row>
    <row r="19" spans="1:9" s="50" customFormat="1">
      <c r="A19" s="47" t="s">
        <v>26</v>
      </c>
      <c r="B19" s="48">
        <f>'BSO data'!E21+'BSO data'!E48+'BSO data'!E75+'BSO data'!E102+'BSO data'!E129+'BSO data'!E156+'BSO data'!E183</f>
        <v>28759825</v>
      </c>
      <c r="C19" s="49">
        <f>'BSO data'!E21/heat_spec_distribution!B19</f>
        <v>0.25542495477632426</v>
      </c>
      <c r="D19" s="49">
        <f>'BSO data'!E48/heat_spec_distribution!B19</f>
        <v>0.18264015862405283</v>
      </c>
      <c r="E19" s="49">
        <f>'BSO data'!E75/heat_spec_distribution!B19</f>
        <v>0.13878843143169334</v>
      </c>
      <c r="F19" s="49">
        <f>'BSO data'!E102/heat_spec_distribution!B19</f>
        <v>0.11573238015182638</v>
      </c>
      <c r="G19" s="49">
        <f>'BSO data'!E129/heat_spec_distribution!B19</f>
        <v>8.8155508595758145E-2</v>
      </c>
      <c r="H19" s="49">
        <f>'BSO data'!E156/heat_spec_distribution!B19</f>
        <v>0.121157308850106</v>
      </c>
      <c r="I19" s="49">
        <f>'BSO data'!E183/heat_spec_distribution!B19</f>
        <v>9.8101257570239034E-2</v>
      </c>
    </row>
    <row r="20" spans="1:9">
      <c r="A20" s="2" t="s">
        <v>27</v>
      </c>
      <c r="B20" s="31">
        <f>'BSO data'!E22+'BSO data'!E49+'BSO data'!E76+'BSO data'!E103+'BSO data'!E130+'BSO data'!E157+'BSO data'!E184</f>
        <v>23808001</v>
      </c>
      <c r="C20" s="34">
        <f>'BSO data'!E22/heat_spec_distribution!B20</f>
        <v>0.22621248209793002</v>
      </c>
      <c r="D20" s="34">
        <f>'BSO data'!E49/heat_spec_distribution!B20</f>
        <v>0.20220920689645469</v>
      </c>
      <c r="E20" s="34">
        <f>'BSO data'!E76/heat_spec_distribution!B20</f>
        <v>0.12947210477687732</v>
      </c>
      <c r="F20" s="34">
        <f>'BSO data'!E103/heat_spec_distribution!B20</f>
        <v>0.16656799535584696</v>
      </c>
      <c r="G20" s="34">
        <f>'BSO data'!E130/heat_spec_distribution!B20</f>
        <v>0.13965527807227496</v>
      </c>
      <c r="H20" s="34">
        <f>'BSO data'!E157/heat_spec_distribution!B20</f>
        <v>8.122559302647879E-2</v>
      </c>
      <c r="I20" s="34">
        <f>'BSO data'!E184/heat_spec_distribution!B20</f>
        <v>5.4657339774137274E-2</v>
      </c>
    </row>
    <row r="21" spans="1:9" s="50" customFormat="1">
      <c r="A21" s="47" t="s">
        <v>28</v>
      </c>
      <c r="B21" s="48">
        <f>'BSO data'!E23+'BSO data'!E50+'BSO data'!E77+'BSO data'!E104+'BSO data'!E131+'BSO data'!E158+'BSO data'!E185</f>
        <v>707078844</v>
      </c>
      <c r="C21" s="49">
        <f>'BSO data'!E23/heat_spec_distribution!B21</f>
        <v>0.22724238656474355</v>
      </c>
      <c r="D21" s="49">
        <f>'BSO data'!E50/heat_spec_distribution!B21</f>
        <v>0.21369981054050599</v>
      </c>
      <c r="E21" s="49">
        <f>'BSO data'!E77/heat_spec_distribution!B21</f>
        <v>0.1344023015345655</v>
      </c>
      <c r="F21" s="49">
        <f>'BSO data'!E104/heat_spec_distribution!B21</f>
        <v>0.14014269390302958</v>
      </c>
      <c r="G21" s="49">
        <f>'BSO data'!E131/heat_spec_distribution!B21</f>
        <v>0.12746043212120203</v>
      </c>
      <c r="H21" s="49">
        <f>'BSO data'!E158/heat_spec_distribution!B21</f>
        <v>9.7957488882244079E-2</v>
      </c>
      <c r="I21" s="49">
        <f>'BSO data'!E185/heat_spec_distribution!B21</f>
        <v>5.9094886453709257E-2</v>
      </c>
    </row>
    <row r="22" spans="1:9" s="54" customFormat="1">
      <c r="A22" s="51" t="s">
        <v>29</v>
      </c>
      <c r="B22" s="52">
        <f>'BSO data'!E24+'BSO data'!E51+'BSO data'!E78+'BSO data'!E105+'BSO data'!E132+'BSO data'!E159+'BSO data'!E186</f>
        <v>1052334816</v>
      </c>
      <c r="C22" s="53">
        <f>'BSO data'!E24/heat_spec_distribution!B22</f>
        <v>0.15723427514157243</v>
      </c>
      <c r="D22" s="53">
        <f>'BSO data'!E51/heat_spec_distribution!B22</f>
        <v>0.18302897905831522</v>
      </c>
      <c r="E22" s="53">
        <f>'BSO data'!E78/heat_spec_distribution!B22</f>
        <v>0.12665314021122343</v>
      </c>
      <c r="F22" s="53">
        <f>'BSO data'!E105/heat_spec_distribution!B22</f>
        <v>0.12024868613678938</v>
      </c>
      <c r="G22" s="53">
        <f>'BSO data'!E132/heat_spec_distribution!B22</f>
        <v>0.11996774323201714</v>
      </c>
      <c r="H22" s="53">
        <f>'BSO data'!E159/heat_spec_distribution!B22</f>
        <v>0.17570365741847696</v>
      </c>
      <c r="I22" s="53">
        <f>'BSO data'!E186/heat_spec_distribution!B22</f>
        <v>0.11716351880160544</v>
      </c>
    </row>
    <row r="23" spans="1:9" s="46" customFormat="1">
      <c r="A23" s="43" t="s">
        <v>30</v>
      </c>
      <c r="B23" s="44">
        <f>'BSO data'!E25+'BSO data'!E52+'BSO data'!E79+'BSO data'!E106+'BSO data'!E133+'BSO data'!E160+'BSO data'!E187</f>
        <v>614603237</v>
      </c>
      <c r="C23" s="45">
        <f>'BSO data'!E25/heat_spec_distribution!B23</f>
        <v>0.14567001377508201</v>
      </c>
      <c r="D23" s="45">
        <f>'BSO data'!E52/heat_spec_distribution!B23</f>
        <v>0.12962453531626941</v>
      </c>
      <c r="E23" s="45">
        <f>'BSO data'!E79/heat_spec_distribution!B23</f>
        <v>0.16013386535417809</v>
      </c>
      <c r="F23" s="45">
        <f>'BSO data'!E106/heat_spec_distribution!B23</f>
        <v>0.1649475074274625</v>
      </c>
      <c r="G23" s="45">
        <f>'BSO data'!E133/heat_spec_distribution!B23</f>
        <v>0.1712740116921968</v>
      </c>
      <c r="H23" s="45">
        <f>'BSO data'!E160/heat_spec_distribution!B23</f>
        <v>0.15495346797205364</v>
      </c>
      <c r="I23" s="45">
        <f>'BSO data'!E187/heat_spec_distribution!B23</f>
        <v>7.339659846275752E-2</v>
      </c>
    </row>
    <row r="24" spans="1:9" s="54" customFormat="1">
      <c r="A24" s="51" t="s">
        <v>31</v>
      </c>
      <c r="B24" s="52">
        <f>'BSO data'!E26+'BSO data'!E53+'BSO data'!E80+'BSO data'!E107+'BSO data'!E134+'BSO data'!E161+'BSO data'!E188</f>
        <v>412593962</v>
      </c>
      <c r="C24" s="53">
        <f>'BSO data'!E26/heat_spec_distribution!B24</f>
        <v>0.12463575993872639</v>
      </c>
      <c r="D24" s="53">
        <f>'BSO data'!E53/heat_spec_distribution!B24</f>
        <v>0.29533829678292772</v>
      </c>
      <c r="E24" s="53">
        <f>'BSO data'!E80/heat_spec_distribution!B24</f>
        <v>0.13236086571717692</v>
      </c>
      <c r="F24" s="53">
        <f>'BSO data'!E107/heat_spec_distribution!B24</f>
        <v>0.11526831068846324</v>
      </c>
      <c r="G24" s="53">
        <f>'BSO data'!E134/heat_spec_distribution!B24</f>
        <v>0.10253506327365983</v>
      </c>
      <c r="H24" s="53">
        <f>'BSO data'!E161/heat_spec_distribution!B24</f>
        <v>0.11155782740223426</v>
      </c>
      <c r="I24" s="53">
        <f>'BSO data'!E188/heat_spec_distribution!B24</f>
        <v>0.11830387619681162</v>
      </c>
    </row>
    <row r="25" spans="1:9" s="54" customFormat="1">
      <c r="A25" s="51" t="s">
        <v>32</v>
      </c>
      <c r="B25" s="52">
        <f>'BSO data'!E27+'BSO data'!E54+'BSO data'!E81+'BSO data'!E108+'BSO data'!E135+'BSO data'!E162+'BSO data'!E189</f>
        <v>166085778</v>
      </c>
      <c r="C25" s="53">
        <f>'BSO data'!E27/heat_spec_distribution!B25</f>
        <v>0.23173044955119518</v>
      </c>
      <c r="D25" s="53">
        <f>'BSO data'!E54/heat_spec_distribution!B25</f>
        <v>0.20098135675409848</v>
      </c>
      <c r="E25" s="53">
        <f>'BSO data'!E81/heat_spec_distribution!B25</f>
        <v>0.12319267336665034</v>
      </c>
      <c r="F25" s="53">
        <f>'BSO data'!E108/heat_spec_distribution!B25</f>
        <v>0.15878311988880831</v>
      </c>
      <c r="G25" s="53">
        <f>'BSO data'!E135/heat_spec_distribution!B25</f>
        <v>0.12495910998472126</v>
      </c>
      <c r="H25" s="53">
        <f>'BSO data'!E162/heat_spec_distribution!B25</f>
        <v>0.13012757781102727</v>
      </c>
      <c r="I25" s="53">
        <f>'BSO data'!E189/heat_spec_distribution!B25</f>
        <v>3.0225712643499193E-2</v>
      </c>
    </row>
    <row r="26" spans="1:9" s="46" customFormat="1">
      <c r="A26" s="43" t="s">
        <v>33</v>
      </c>
      <c r="B26" s="44">
        <f>'BSO data'!E28+'BSO data'!E55+'BSO data'!E82+'BSO data'!E109+'BSO data'!E136+'BSO data'!E163+'BSO data'!E190</f>
        <v>63590790</v>
      </c>
      <c r="C26" s="45">
        <f>'BSO data'!E28/heat_spec_distribution!B26</f>
        <v>0.10727844393818664</v>
      </c>
      <c r="D26" s="45">
        <f>'BSO data'!E55/heat_spec_distribution!B26</f>
        <v>0.41110750471884372</v>
      </c>
      <c r="E26" s="45">
        <f>'BSO data'!E82/heat_spec_distribution!B26</f>
        <v>0.11356981097419926</v>
      </c>
      <c r="F26" s="45">
        <f>'BSO data'!E109/heat_spec_distribution!B26</f>
        <v>8.0485947729223059E-2</v>
      </c>
      <c r="G26" s="45">
        <f>'BSO data'!E136/heat_spec_distribution!B26</f>
        <v>7.5713196832434382E-2</v>
      </c>
      <c r="H26" s="45">
        <f>'BSO data'!E163/heat_spec_distribution!B26</f>
        <v>0.13472177338888225</v>
      </c>
      <c r="I26" s="45">
        <f>'BSO data'!E190/heat_spec_distribution!B26</f>
        <v>7.7123322418230694E-2</v>
      </c>
    </row>
    <row r="27" spans="1:9" s="46" customFormat="1">
      <c r="A27" s="43" t="s">
        <v>34</v>
      </c>
      <c r="B27" s="44">
        <f>'BSO data'!E29+'BSO data'!E56+'BSO data'!E83+'BSO data'!E110+'BSO data'!E137+'BSO data'!E164+'BSO data'!E191</f>
        <v>3725796728</v>
      </c>
      <c r="C27" s="45">
        <f>'BSO data'!E29/heat_spec_distribution!B27</f>
        <v>0.13375005304368823</v>
      </c>
      <c r="D27" s="45">
        <f>'BSO data'!E56/heat_spec_distribution!B27</f>
        <v>0.16940645882707964</v>
      </c>
      <c r="E27" s="45">
        <f>'BSO data'!E83/heat_spec_distribution!B27</f>
        <v>0.1274561538559599</v>
      </c>
      <c r="F27" s="45">
        <f>'BSO data'!E110/heat_spec_distribution!B27</f>
        <v>0.15957610852247225</v>
      </c>
      <c r="G27" s="45">
        <f>'BSO data'!E137/heat_spec_distribution!B27</f>
        <v>0.16314499270235014</v>
      </c>
      <c r="H27" s="45">
        <f>'BSO data'!E164/heat_spec_distribution!B27</f>
        <v>0.1695120907304635</v>
      </c>
      <c r="I27" s="45">
        <f>'BSO data'!E191/heat_spec_distribution!B27</f>
        <v>7.7154142317986382E-2</v>
      </c>
    </row>
    <row r="28" spans="1:9" s="58" customFormat="1">
      <c r="A28" s="55" t="s">
        <v>35</v>
      </c>
      <c r="B28" s="56">
        <f>'BSO data'!E30+'BSO data'!E57+'BSO data'!E84+'BSO data'!E111+'BSO data'!E138+'BSO data'!E165+'BSO data'!E192</f>
        <v>486603092</v>
      </c>
      <c r="C28" s="57">
        <f>'BSO data'!E30/heat_spec_distribution!B28</f>
        <v>0.1832955348339628</v>
      </c>
      <c r="D28" s="57">
        <f>'BSO data'!E57/heat_spec_distribution!B28</f>
        <v>0.15925785568168974</v>
      </c>
      <c r="E28" s="57">
        <f>'BSO data'!E84/heat_spec_distribution!B28</f>
        <v>0.15803127490196878</v>
      </c>
      <c r="F28" s="57">
        <f>'BSO data'!E111/heat_spec_distribution!B28</f>
        <v>0.14616061255936286</v>
      </c>
      <c r="G28" s="57">
        <f>'BSO data'!E138/heat_spec_distribution!B28</f>
        <v>0.12511941046194586</v>
      </c>
      <c r="H28" s="57">
        <f>'BSO data'!E165/heat_spec_distribution!B28</f>
        <v>0.12068231781807091</v>
      </c>
      <c r="I28" s="57">
        <f>'BSO data'!E192/heat_spec_distribution!B28</f>
        <v>0.10745299374299906</v>
      </c>
    </row>
    <row r="31" spans="1:9">
      <c r="B31" s="32" t="s">
        <v>92</v>
      </c>
      <c r="C31" s="33" t="s">
        <v>8</v>
      </c>
      <c r="D31" s="33" t="s">
        <v>36</v>
      </c>
      <c r="E31" s="33" t="s">
        <v>37</v>
      </c>
      <c r="F31" s="33" t="s">
        <v>38</v>
      </c>
      <c r="G31" s="33" t="s">
        <v>39</v>
      </c>
      <c r="H31" s="33" t="s">
        <v>40</v>
      </c>
      <c r="I31" s="33" t="s">
        <v>41</v>
      </c>
    </row>
    <row r="32" spans="1:9">
      <c r="B32" s="33" t="s">
        <v>93</v>
      </c>
      <c r="C32" s="33">
        <v>200</v>
      </c>
      <c r="D32" s="33">
        <v>175</v>
      </c>
      <c r="E32" s="33">
        <v>150</v>
      </c>
      <c r="F32" s="33">
        <v>124.99999999999999</v>
      </c>
      <c r="G32" s="33">
        <v>99.999999999999986</v>
      </c>
      <c r="H32" s="33">
        <v>74.999999999999972</v>
      </c>
      <c r="I32" s="33">
        <v>49.999999999999972</v>
      </c>
    </row>
    <row r="34" spans="2:6">
      <c r="B34" s="32" t="s">
        <v>95</v>
      </c>
      <c r="C34" s="36" t="s">
        <v>96</v>
      </c>
      <c r="D34" s="37" t="s">
        <v>97</v>
      </c>
      <c r="E34" s="39" t="s">
        <v>98</v>
      </c>
      <c r="F34" s="41" t="s">
        <v>99</v>
      </c>
    </row>
    <row r="35" spans="2:6">
      <c r="B35" s="32" t="s">
        <v>94</v>
      </c>
      <c r="C35" s="36">
        <v>3.3</v>
      </c>
      <c r="D35" s="38">
        <v>3</v>
      </c>
      <c r="E35" s="40">
        <v>2.7</v>
      </c>
      <c r="F35" s="42">
        <v>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95397F-F2AC-254A-AB0C-82BB88BC2ADF}">
  <dimension ref="A1:AP33"/>
  <sheetViews>
    <sheetView workbookViewId="0">
      <selection activeCell="A7" sqref="A7"/>
    </sheetView>
  </sheetViews>
  <sheetFormatPr baseColWidth="10" defaultRowHeight="16"/>
  <cols>
    <col min="2" max="2" width="17.5" bestFit="1" customWidth="1"/>
    <col min="3" max="3" width="20.5" bestFit="1" customWidth="1"/>
    <col min="4" max="4" width="19.5" bestFit="1" customWidth="1"/>
    <col min="5" max="5" width="20.6640625" bestFit="1" customWidth="1"/>
  </cols>
  <sheetData>
    <row r="1" spans="1:42">
      <c r="A1" s="1" t="s">
        <v>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 s="2">
        <v>2060</v>
      </c>
    </row>
    <row r="2" spans="1:42" s="50" customFormat="1">
      <c r="A2" s="47" t="s">
        <v>9</v>
      </c>
      <c r="B2" s="60">
        <f>heat_spec_distribution!B2/1000000000*(heat_spec_distribution!C2*heat_spec_distribution!C$32+heat_spec_distribution!D2*heat_spec_distribution!D$32+heat_spec_distribution!E2*heat_spec_distribution!E$32+heat_spec_distribution!F2*heat_spec_distribution!F$32+heat_spec_distribution!G2*heat_spec_distribution!G$32+heat_spec_distribution!H2*heat_spec_distribution!H$32+heat_spec_distribution!I2*heat_spec_distribution!I$32)</f>
        <v>72.352297874999991</v>
      </c>
    </row>
    <row r="3" spans="1:42" s="50" customFormat="1">
      <c r="A3" s="47" t="s">
        <v>10</v>
      </c>
      <c r="B3" s="60">
        <f>heat_spec_distribution!B3/1000000000*(heat_spec_distribution!C3*heat_spec_distribution!C$32+heat_spec_distribution!D3*heat_spec_distribution!D$32+heat_spec_distribution!E3*heat_spec_distribution!E$32+heat_spec_distribution!F3*heat_spec_distribution!F$32+heat_spec_distribution!G3*heat_spec_distribution!G$32+heat_spec_distribution!H3*heat_spec_distribution!H$32+heat_spec_distribution!I3*heat_spec_distribution!I$32)</f>
        <v>112.63168229999998</v>
      </c>
    </row>
    <row r="4" spans="1:42" s="54" customFormat="1">
      <c r="A4" s="51" t="s">
        <v>11</v>
      </c>
      <c r="B4" s="62">
        <f>heat_spec_distribution!B4/1000000000*(heat_spec_distribution!C4*heat_spec_distribution!C$32+heat_spec_distribution!D4*heat_spec_distribution!D$32+heat_spec_distribution!E4*heat_spec_distribution!E$32+heat_spec_distribution!F4*heat_spec_distribution!F$32+heat_spec_distribution!G4*heat_spec_distribution!G$32+heat_spec_distribution!H4*heat_spec_distribution!H$32+heat_spec_distribution!I4*heat_spec_distribution!I$32)</f>
        <v>45.815259099999992</v>
      </c>
    </row>
    <row r="5" spans="1:42" s="54" customFormat="1">
      <c r="A5" s="51" t="s">
        <v>12</v>
      </c>
      <c r="B5" s="62">
        <f>heat_spec_distribution!B5/1000000000*(heat_spec_distribution!C5*heat_spec_distribution!C$32+heat_spec_distribution!D5*heat_spec_distribution!D$32+heat_spec_distribution!E5*heat_spec_distribution!E$32+heat_spec_distribution!F5*heat_spec_distribution!F$32+heat_spec_distribution!G5*heat_spec_distribution!G$32+heat_spec_distribution!H5*heat_spec_distribution!H$32+heat_spec_distribution!I5*heat_spec_distribution!I$32)</f>
        <v>23.810151100000002</v>
      </c>
    </row>
    <row r="6" spans="1:42">
      <c r="A6" s="2" t="s">
        <v>13</v>
      </c>
      <c r="B6" s="35">
        <f>heat_spec_distribution!B6/1000000000*(heat_spec_distribution!C6*heat_spec_distribution!C$32+heat_spec_distribution!D6*heat_spec_distribution!D$32+heat_spec_distribution!E6*heat_spec_distribution!E$32+heat_spec_distribution!F6*heat_spec_distribution!F$32+heat_spec_distribution!G6*heat_spec_distribution!G$32+heat_spec_distribution!H6*heat_spec_distribution!H$32+heat_spec_distribution!I6*heat_spec_distribution!I$32)</f>
        <v>12.246467975</v>
      </c>
    </row>
    <row r="7" spans="1:42" s="54" customFormat="1">
      <c r="A7" s="51" t="s">
        <v>14</v>
      </c>
      <c r="B7" s="62">
        <f>heat_spec_distribution!B7/1000000000*(heat_spec_distribution!C7*heat_spec_distribution!C$32+heat_spec_distribution!D7*heat_spec_distribution!D$32+heat_spec_distribution!E7*heat_spec_distribution!E$32+heat_spec_distribution!F7*heat_spec_distribution!F$32+heat_spec_distribution!G7*heat_spec_distribution!G$32+heat_spec_distribution!H7*heat_spec_distribution!H$32+heat_spec_distribution!I7*heat_spec_distribution!I$32)</f>
        <v>54.274133099999993</v>
      </c>
    </row>
    <row r="8" spans="1:42" s="58" customFormat="1">
      <c r="A8" s="55" t="s">
        <v>15</v>
      </c>
      <c r="B8" s="61">
        <f>heat_spec_distribution!B8/1000000000*(heat_spec_distribution!C8*heat_spec_distribution!C$32+heat_spec_distribution!D8*heat_spec_distribution!D$32+heat_spec_distribution!E8*heat_spec_distribution!E$32+heat_spec_distribution!F8*heat_spec_distribution!F$32+heat_spec_distribution!G8*heat_spec_distribution!G$32+heat_spec_distribution!H8*heat_spec_distribution!H$32+heat_spec_distribution!I8*heat_spec_distribution!I$32)</f>
        <v>47.542313300000011</v>
      </c>
    </row>
    <row r="9" spans="1:42" s="58" customFormat="1">
      <c r="A9" s="55" t="s">
        <v>16</v>
      </c>
      <c r="B9" s="61">
        <f>heat_spec_distribution!B9/1000000000*(heat_spec_distribution!C9*heat_spec_distribution!C$32+heat_spec_distribution!D9*heat_spec_distribution!D$32+heat_spec_distribution!E9*heat_spec_distribution!E$32+heat_spec_distribution!F9*heat_spec_distribution!F$32+heat_spec_distribution!G9*heat_spec_distribution!G$32+heat_spec_distribution!H9*heat_spec_distribution!H$32+heat_spec_distribution!I9*heat_spec_distribution!I$32)</f>
        <v>4.0941185999999998</v>
      </c>
    </row>
    <row r="10" spans="1:42" s="58" customFormat="1">
      <c r="A10" s="55" t="s">
        <v>17</v>
      </c>
      <c r="B10" s="61">
        <f>heat_spec_distribution!B10/1000000000*(heat_spec_distribution!C10*heat_spec_distribution!C$32+heat_spec_distribution!D10*heat_spec_distribution!D$32+heat_spec_distribution!E10*heat_spec_distribution!E$32+heat_spec_distribution!F10*heat_spec_distribution!F$32+heat_spec_distribution!G10*heat_spec_distribution!G$32+heat_spec_distribution!H10*heat_spec_distribution!H$32+heat_spec_distribution!I10*heat_spec_distribution!I$32)</f>
        <v>56.829887274999983</v>
      </c>
    </row>
    <row r="11" spans="1:42" s="50" customFormat="1">
      <c r="A11" s="47" t="s">
        <v>18</v>
      </c>
      <c r="B11" s="60">
        <f>heat_spec_distribution!B11/1000000000*(heat_spec_distribution!C11*heat_spec_distribution!C$32+heat_spec_distribution!D11*heat_spec_distribution!D$32+heat_spec_distribution!E11*heat_spec_distribution!E$32+heat_spec_distribution!F11*heat_spec_distribution!F$32+heat_spec_distribution!G11*heat_spec_distribution!G$32+heat_spec_distribution!H11*heat_spec_distribution!H$32+heat_spec_distribution!I11*heat_spec_distribution!I$32)</f>
        <v>402.92037417500001</v>
      </c>
    </row>
    <row r="12" spans="1:42" s="50" customFormat="1">
      <c r="A12" s="47" t="s">
        <v>19</v>
      </c>
      <c r="B12" s="60">
        <f>heat_spec_distribution!B12/1000000000*(heat_spec_distribution!C12*heat_spec_distribution!C$32+heat_spec_distribution!D12*heat_spec_distribution!D$32+heat_spec_distribution!E12*heat_spec_distribution!E$32+heat_spec_distribution!F12*heat_spec_distribution!F$32+heat_spec_distribution!G12*heat_spec_distribution!G$32+heat_spec_distribution!H12*heat_spec_distribution!H$32+heat_spec_distribution!I12*heat_spec_distribution!I$32)</f>
        <v>572.48261469999989</v>
      </c>
    </row>
    <row r="13" spans="1:42" s="46" customFormat="1">
      <c r="A13" s="43" t="s">
        <v>20</v>
      </c>
      <c r="B13" s="59">
        <f>heat_spec_distribution!B13/1000000000*(heat_spec_distribution!C13*heat_spec_distribution!C$32+heat_spec_distribution!D13*heat_spec_distribution!D$32+heat_spec_distribution!E13*heat_spec_distribution!E$32+heat_spec_distribution!F13*heat_spec_distribution!F$32+heat_spec_distribution!G13*heat_spec_distribution!G$32+heat_spec_distribution!H13*heat_spec_distribution!H$32+heat_spec_distribution!I13*heat_spec_distribution!I$32)</f>
        <v>78.123544549999991</v>
      </c>
    </row>
    <row r="14" spans="1:42" s="46" customFormat="1">
      <c r="A14" s="43" t="s">
        <v>21</v>
      </c>
      <c r="B14" s="59">
        <f>heat_spec_distribution!B14/1000000000*(heat_spec_distribution!C14*heat_spec_distribution!C$32+heat_spec_distribution!D14*heat_spec_distribution!D$32+heat_spec_distribution!E14*heat_spec_distribution!E$32+heat_spec_distribution!F14*heat_spec_distribution!F$32+heat_spec_distribution!G14*heat_spec_distribution!G$32+heat_spec_distribution!H14*heat_spec_distribution!H$32+heat_spec_distribution!I14*heat_spec_distribution!I$32)</f>
        <v>42.840646425000003</v>
      </c>
    </row>
    <row r="15" spans="1:42" s="50" customFormat="1">
      <c r="A15" s="47" t="s">
        <v>22</v>
      </c>
      <c r="B15" s="60">
        <f>heat_spec_distribution!B15/1000000000*(heat_spec_distribution!C15*heat_spec_distribution!C$32+heat_spec_distribution!D15*heat_spec_distribution!D$32+heat_spec_distribution!E15*heat_spec_distribution!E$32+heat_spec_distribution!F15*heat_spec_distribution!F$32+heat_spec_distribution!G15*heat_spec_distribution!G$32+heat_spec_distribution!H15*heat_spec_distribution!H$32+heat_spec_distribution!I15*heat_spec_distribution!I$32)</f>
        <v>28.252806349999997</v>
      </c>
    </row>
    <row r="16" spans="1:42" s="46" customFormat="1">
      <c r="A16" s="43" t="s">
        <v>23</v>
      </c>
      <c r="B16" s="59">
        <f>heat_spec_distribution!B16/1000000000*(heat_spec_distribution!C16*heat_spec_distribution!C$32+heat_spec_distribution!D16*heat_spec_distribution!D$32+heat_spec_distribution!E16*heat_spec_distribution!E$32+heat_spec_distribution!F16*heat_spec_distribution!F$32+heat_spec_distribution!G16*heat_spec_distribution!G$32+heat_spec_distribution!H16*heat_spec_distribution!H$32+heat_spec_distribution!I16*heat_spec_distribution!I$32)</f>
        <v>435.05087232499989</v>
      </c>
    </row>
    <row r="17" spans="1:5" s="58" customFormat="1">
      <c r="A17" s="55" t="s">
        <v>24</v>
      </c>
      <c r="B17" s="61">
        <f>heat_spec_distribution!B17/1000000000*(heat_spec_distribution!C17*heat_spec_distribution!C$32+heat_spec_distribution!D17*heat_spec_distribution!D$32+heat_spec_distribution!E17*heat_spec_distribution!E$32+heat_spec_distribution!F17*heat_spec_distribution!F$32+heat_spec_distribution!G17*heat_spec_distribution!G$32+heat_spec_distribution!H17*heat_spec_distribution!H$32+heat_spec_distribution!I17*heat_spec_distribution!I$32)</f>
        <v>8.7494237500000001</v>
      </c>
    </row>
    <row r="18" spans="1:5" s="58" customFormat="1">
      <c r="A18" s="55" t="s">
        <v>25</v>
      </c>
      <c r="B18" s="61">
        <f>heat_spec_distribution!B18/1000000000*(heat_spec_distribution!C18*heat_spec_distribution!C$32+heat_spec_distribution!D18*heat_spec_distribution!D$32+heat_spec_distribution!E18*heat_spec_distribution!E$32+heat_spec_distribution!F18*heat_spec_distribution!F$32+heat_spec_distribution!G18*heat_spec_distribution!G$32+heat_spec_distribution!H18*heat_spec_distribution!H$32+heat_spec_distribution!I18*heat_spec_distribution!I$32)</f>
        <v>17.608899774999998</v>
      </c>
    </row>
    <row r="19" spans="1:5" s="50" customFormat="1">
      <c r="A19" s="47" t="s">
        <v>26</v>
      </c>
      <c r="B19" s="60">
        <f>heat_spec_distribution!B19/1000000000*(heat_spec_distribution!C19*heat_spec_distribution!C$32+heat_spec_distribution!D19*heat_spec_distribution!D$32+heat_spec_distribution!E19*heat_spec_distribution!E$32+heat_spec_distribution!F19*heat_spec_distribution!F$32+heat_spec_distribution!G19*heat_spec_distribution!G$32+heat_spec_distribution!H19*heat_spec_distribution!H$32+heat_spec_distribution!I19*heat_spec_distribution!I$32)</f>
        <v>4.0591399250000002</v>
      </c>
    </row>
    <row r="20" spans="1:5">
      <c r="A20" s="2" t="s">
        <v>27</v>
      </c>
      <c r="B20" s="35">
        <f>heat_spec_distribution!B20/1000000000*(heat_spec_distribution!C20*heat_spec_distribution!C$32+heat_spec_distribution!D20*heat_spec_distribution!D$32+heat_spec_distribution!E20*heat_spec_distribution!E$32+heat_spec_distribution!F20*heat_spec_distribution!F$32+heat_spec_distribution!G20*heat_spec_distribution!G$32+heat_spec_distribution!H20*heat_spec_distribution!H$32+heat_spec_distribution!I20*heat_spec_distribution!I$32)</f>
        <v>3.4202868749999995</v>
      </c>
    </row>
    <row r="21" spans="1:5" s="50" customFormat="1">
      <c r="A21" s="47" t="s">
        <v>28</v>
      </c>
      <c r="B21" s="60">
        <f>heat_spec_distribution!B21/1000000000*(heat_spec_distribution!C21*heat_spec_distribution!C$32+heat_spec_distribution!D21*heat_spec_distribution!D$32+heat_spec_distribution!E21*heat_spec_distribution!E$32+heat_spec_distribution!F21*heat_spec_distribution!F$32+heat_spec_distribution!G21*heat_spec_distribution!G$32+heat_spec_distribution!H21*heat_spec_distribution!H$32+heat_spec_distribution!I21*heat_spec_distribution!I$32)</f>
        <v>101.51652957499999</v>
      </c>
    </row>
    <row r="22" spans="1:5" s="54" customFormat="1">
      <c r="A22" s="51" t="s">
        <v>29</v>
      </c>
      <c r="B22" s="62">
        <f>heat_spec_distribution!B22/1000000000*(heat_spec_distribution!C22*heat_spec_distribution!C$32+heat_spec_distribution!D22*heat_spec_distribution!D$32+heat_spec_distribution!E22*heat_spec_distribution!E$32+heat_spec_distribution!F22*heat_spec_distribution!F$32+heat_spec_distribution!G22*heat_spec_distribution!G$32+heat_spec_distribution!H22*heat_spec_distribution!H$32+heat_spec_distribution!I22*heat_spec_distribution!I$32)</f>
        <v>135.26575734999994</v>
      </c>
    </row>
    <row r="23" spans="1:5" s="46" customFormat="1">
      <c r="A23" s="43" t="s">
        <v>30</v>
      </c>
      <c r="B23" s="59">
        <f>heat_spec_distribution!B23/1000000000*(heat_spec_distribution!C23*heat_spec_distribution!C$32+heat_spec_distribution!D23*heat_spec_distribution!D$32+heat_spec_distribution!E23*heat_spec_distribution!E$32+heat_spec_distribution!F23*heat_spec_distribution!F$32+heat_spec_distribution!G23*heat_spec_distribution!G$32+heat_spec_distribution!H23*heat_spec_distribution!H$32+heat_spec_distribution!I23*heat_spec_distribution!I$32)</f>
        <v>79.207333799999986</v>
      </c>
    </row>
    <row r="24" spans="1:5" s="54" customFormat="1">
      <c r="A24" s="51" t="s">
        <v>31</v>
      </c>
      <c r="B24" s="62">
        <f>heat_spec_distribution!B24/1000000000*(heat_spec_distribution!C24*heat_spec_distribution!C$32+heat_spec_distribution!D24*heat_spec_distribution!D$32+heat_spec_distribution!E24*heat_spec_distribution!E$32+heat_spec_distribution!F24*heat_spec_distribution!F$32+heat_spec_distribution!G24*heat_spec_distribution!G$32+heat_spec_distribution!H24*heat_spec_distribution!H$32+heat_spec_distribution!I24*heat_spec_distribution!I$32)</f>
        <v>55.869166774999997</v>
      </c>
    </row>
    <row r="25" spans="1:5" s="54" customFormat="1">
      <c r="A25" s="51" t="s">
        <v>32</v>
      </c>
      <c r="B25" s="62">
        <f>heat_spec_distribution!B25/1000000000*(heat_spec_distribution!C25*heat_spec_distribution!C$32+heat_spec_distribution!D25*heat_spec_distribution!D$32+heat_spec_distribution!E25*heat_spec_distribution!E$32+heat_spec_distribution!F25*heat_spec_distribution!F$32+heat_spec_distribution!G25*heat_spec_distribution!G$32+heat_spec_distribution!H25*heat_spec_distribution!H$32+heat_spec_distribution!I25*heat_spec_distribution!I$32)</f>
        <v>23.851808324999993</v>
      </c>
    </row>
    <row r="26" spans="1:5" s="46" customFormat="1">
      <c r="A26" s="43" t="s">
        <v>33</v>
      </c>
      <c r="B26" s="59">
        <f>heat_spec_distribution!B26/1000000000*(heat_spec_distribution!C26*heat_spec_distribution!C$32+heat_spec_distribution!D26*heat_spec_distribution!D$32+heat_spec_distribution!E26*heat_spec_distribution!E$32+heat_spec_distribution!F26*heat_spec_distribution!F$32+heat_spec_distribution!G26*heat_spec_distribution!G$32+heat_spec_distribution!H26*heat_spec_distribution!H$32+heat_spec_distribution!I26*heat_spec_distribution!I$32)</f>
        <v>9.0316304999999986</v>
      </c>
    </row>
    <row r="27" spans="1:5" s="46" customFormat="1">
      <c r="A27" s="43" t="s">
        <v>34</v>
      </c>
      <c r="B27" s="59">
        <f>heat_spec_distribution!B27/1000000000*(heat_spec_distribution!C27*heat_spec_distribution!C$32+heat_spec_distribution!D27*heat_spec_distribution!D$32+heat_spec_distribution!E27*heat_spec_distribution!E$32+heat_spec_distribution!F27*heat_spec_distribution!F$32+heat_spec_distribution!G27*heat_spec_distribution!G$32+heat_spec_distribution!H27*heat_spec_distribution!H$32+heat_spec_distribution!I27*heat_spec_distribution!I$32)</f>
        <v>478.1955433</v>
      </c>
    </row>
    <row r="28" spans="1:5" s="58" customFormat="1">
      <c r="A28" s="55" t="s">
        <v>35</v>
      </c>
      <c r="B28" s="61">
        <f>heat_spec_distribution!B28/1000000000*(heat_spec_distribution!C28*heat_spec_distribution!C$32+heat_spec_distribution!D28*heat_spec_distribution!D$32+heat_spec_distribution!E28*heat_spec_distribution!E$32+heat_spec_distribution!F28*heat_spec_distribution!F$32+heat_spec_distribution!G28*heat_spec_distribution!G$32+heat_spec_distribution!H28*heat_spec_distribution!H$32+heat_spec_distribution!I28*heat_spec_distribution!I$32)</f>
        <v>64.932201799999987</v>
      </c>
    </row>
    <row r="32" spans="1:5">
      <c r="A32" s="32" t="s">
        <v>95</v>
      </c>
      <c r="B32" s="36" t="s">
        <v>109</v>
      </c>
      <c r="C32" s="37" t="s">
        <v>97</v>
      </c>
      <c r="D32" s="39" t="s">
        <v>108</v>
      </c>
      <c r="E32" s="41" t="s">
        <v>99</v>
      </c>
    </row>
    <row r="33" spans="1:5">
      <c r="A33" s="32" t="s">
        <v>94</v>
      </c>
      <c r="B33" s="36">
        <v>3.3</v>
      </c>
      <c r="C33" s="38">
        <v>3</v>
      </c>
      <c r="D33" s="40">
        <v>2.7</v>
      </c>
      <c r="E33" s="42">
        <v>2.5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3EE7C-14C0-D74C-9EF4-E5AD8B3C11C4}">
  <dimension ref="A1:AP28"/>
  <sheetViews>
    <sheetView workbookViewId="0">
      <selection activeCell="E31" sqref="E31"/>
    </sheetView>
  </sheetViews>
  <sheetFormatPr baseColWidth="10" defaultRowHeight="16"/>
  <sheetData>
    <row r="1" spans="1:42">
      <c r="A1" s="1" t="s">
        <v>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 s="2">
        <v>2060</v>
      </c>
    </row>
    <row r="2" spans="1:42" s="50" customFormat="1">
      <c r="A2" s="47" t="s">
        <v>9</v>
      </c>
      <c r="B2" s="60">
        <f>heat_demand_by_country_TWh!B2/heat_demand_by_country_TWh!$C$33</f>
        <v>24.117432624999996</v>
      </c>
    </row>
    <row r="3" spans="1:42" s="50" customFormat="1">
      <c r="A3" s="47" t="s">
        <v>10</v>
      </c>
      <c r="B3" s="60">
        <f>heat_demand_by_country_TWh!B3/heat_demand_by_country_TWh!$C$33</f>
        <v>37.543894099999996</v>
      </c>
    </row>
    <row r="4" spans="1:42" s="54" customFormat="1">
      <c r="A4" s="51" t="s">
        <v>11</v>
      </c>
      <c r="B4" s="62">
        <f>heat_demand_by_country_TWh!B4/heat_demand_by_country_TWh!$D$33</f>
        <v>16.968614481481477</v>
      </c>
    </row>
    <row r="5" spans="1:42" s="54" customFormat="1">
      <c r="A5" s="51" t="s">
        <v>12</v>
      </c>
      <c r="B5" s="62">
        <f>heat_demand_by_country_TWh!B5/heat_demand_by_country_TWh!$D$33</f>
        <v>8.8185744814814822</v>
      </c>
    </row>
    <row r="6" spans="1:42">
      <c r="A6" s="2" t="s">
        <v>13</v>
      </c>
      <c r="B6" s="35">
        <f>heat_demand_by_country_TWh!B6/heat_demand_by_country_TWh!$B$33</f>
        <v>3.7110509015151516</v>
      </c>
    </row>
    <row r="7" spans="1:42" s="54" customFormat="1">
      <c r="A7" s="51" t="s">
        <v>14</v>
      </c>
      <c r="B7" s="62">
        <f>heat_demand_by_country_TWh!B7/heat_demand_by_country_TWh!$D$33</f>
        <v>20.101530777777775</v>
      </c>
    </row>
    <row r="8" spans="1:42" s="58" customFormat="1">
      <c r="A8" s="55" t="s">
        <v>15</v>
      </c>
      <c r="B8" s="61">
        <f>heat_demand_by_country_TWh!B8/heat_demand_by_country_TWh!$E$33</f>
        <v>19.016925320000006</v>
      </c>
    </row>
    <row r="9" spans="1:42" s="58" customFormat="1">
      <c r="A9" s="55" t="s">
        <v>16</v>
      </c>
      <c r="B9" s="61">
        <f>heat_demand_by_country_TWh!B9/heat_demand_by_country_TWh!$E$33</f>
        <v>1.6376474399999998</v>
      </c>
    </row>
    <row r="10" spans="1:42" s="58" customFormat="1">
      <c r="A10" s="55" t="s">
        <v>17</v>
      </c>
      <c r="B10" s="61">
        <f>heat_demand_by_country_TWh!B10/heat_demand_by_country_TWh!$E$33</f>
        <v>22.731954909999992</v>
      </c>
    </row>
    <row r="11" spans="1:42" s="50" customFormat="1">
      <c r="A11" s="47" t="s">
        <v>18</v>
      </c>
      <c r="B11" s="60">
        <f>heat_demand_by_country_TWh!B11/heat_demand_by_country_TWh!$C$33</f>
        <v>134.30679139166668</v>
      </c>
    </row>
    <row r="12" spans="1:42" s="50" customFormat="1">
      <c r="A12" s="47" t="s">
        <v>19</v>
      </c>
      <c r="B12" s="60">
        <f>heat_demand_by_country_TWh!B12/heat_demand_by_country_TWh!$C$33</f>
        <v>190.82753823333329</v>
      </c>
    </row>
    <row r="13" spans="1:42" s="46" customFormat="1">
      <c r="A13" s="43" t="s">
        <v>20</v>
      </c>
      <c r="B13" s="59">
        <f>heat_demand_by_country_TWh!B13/heat_demand_by_country_TWh!$B$33</f>
        <v>23.673801378787878</v>
      </c>
    </row>
    <row r="14" spans="1:42" s="46" customFormat="1">
      <c r="A14" s="43" t="s">
        <v>21</v>
      </c>
      <c r="B14" s="59">
        <f>heat_demand_by_country_TWh!B14/heat_demand_by_country_TWh!$B$33</f>
        <v>12.982014068181821</v>
      </c>
    </row>
    <row r="15" spans="1:42" s="50" customFormat="1">
      <c r="A15" s="47" t="s">
        <v>22</v>
      </c>
      <c r="B15" s="60">
        <f>heat_demand_by_country_TWh!B15/heat_demand_by_country_TWh!$C$33</f>
        <v>9.4176021166666661</v>
      </c>
    </row>
    <row r="16" spans="1:42" s="46" customFormat="1">
      <c r="A16" s="43" t="s">
        <v>23</v>
      </c>
      <c r="B16" s="59">
        <f>heat_demand_by_country_TWh!B16/heat_demand_by_country_TWh!$B$33</f>
        <v>131.83359767424238</v>
      </c>
    </row>
    <row r="17" spans="1:2" s="58" customFormat="1">
      <c r="A17" s="55" t="s">
        <v>24</v>
      </c>
      <c r="B17" s="61">
        <f>heat_demand_by_country_TWh!B17/heat_demand_by_country_TWh!$E$33</f>
        <v>3.4997695000000002</v>
      </c>
    </row>
    <row r="18" spans="1:2" s="58" customFormat="1">
      <c r="A18" s="55" t="s">
        <v>25</v>
      </c>
      <c r="B18" s="61">
        <f>heat_demand_by_country_TWh!B18/heat_demand_by_country_TWh!$E$33</f>
        <v>7.043559909999999</v>
      </c>
    </row>
    <row r="19" spans="1:2" s="50" customFormat="1">
      <c r="A19" s="47" t="s">
        <v>26</v>
      </c>
      <c r="B19" s="60">
        <f>heat_demand_by_country_TWh!B19/heat_demand_by_country_TWh!$C$33</f>
        <v>1.3530466416666667</v>
      </c>
    </row>
    <row r="20" spans="1:2">
      <c r="A20" s="2" t="s">
        <v>27</v>
      </c>
      <c r="B20" s="35">
        <f>heat_demand_by_country_TWh!B20/heat_demand_by_country_TWh!$B$33</f>
        <v>1.0364505681818181</v>
      </c>
    </row>
    <row r="21" spans="1:2" s="50" customFormat="1">
      <c r="A21" s="47" t="s">
        <v>28</v>
      </c>
      <c r="B21" s="60">
        <f>heat_demand_by_country_TWh!B21/heat_demand_by_country_TWh!$C$33</f>
        <v>33.838843191666662</v>
      </c>
    </row>
    <row r="22" spans="1:2" s="54" customFormat="1">
      <c r="A22" s="51" t="s">
        <v>29</v>
      </c>
      <c r="B22" s="62">
        <f>heat_demand_by_country_TWh!B22/heat_demand_by_country_TWh!$D$33</f>
        <v>50.098428648148122</v>
      </c>
    </row>
    <row r="23" spans="1:2" s="46" customFormat="1">
      <c r="A23" s="43" t="s">
        <v>30</v>
      </c>
      <c r="B23" s="59">
        <f>heat_demand_by_country_TWh!B23/heat_demand_by_country_TWh!$B$33</f>
        <v>24.00222236363636</v>
      </c>
    </row>
    <row r="24" spans="1:2" s="54" customFormat="1">
      <c r="A24" s="51" t="s">
        <v>31</v>
      </c>
      <c r="B24" s="62">
        <f>heat_demand_by_country_TWh!B24/heat_demand_by_country_TWh!$D$33</f>
        <v>20.692283990740737</v>
      </c>
    </row>
    <row r="25" spans="1:2" s="54" customFormat="1">
      <c r="A25" s="51" t="s">
        <v>32</v>
      </c>
      <c r="B25" s="62">
        <f>heat_demand_by_country_TWh!B25/heat_demand_by_country_TWh!$D$33</f>
        <v>8.8340030833333305</v>
      </c>
    </row>
    <row r="26" spans="1:2" s="46" customFormat="1">
      <c r="A26" s="43" t="s">
        <v>33</v>
      </c>
      <c r="B26" s="59">
        <f>heat_demand_by_country_TWh!B26/heat_demand_by_country_TWh!$B$33</f>
        <v>2.736857727272727</v>
      </c>
    </row>
    <row r="27" spans="1:2" s="46" customFormat="1">
      <c r="A27" s="43" t="s">
        <v>34</v>
      </c>
      <c r="B27" s="59">
        <f>heat_demand_by_country_TWh!B27/heat_demand_by_country_TWh!$B$33</f>
        <v>144.90774039393941</v>
      </c>
    </row>
    <row r="28" spans="1:2" s="58" customFormat="1">
      <c r="A28" s="55" t="s">
        <v>35</v>
      </c>
      <c r="B28" s="61">
        <f>heat_demand_by_country_TWh!B28/heat_demand_by_country_TWh!$E$33</f>
        <v>25.972880719999996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C24ED-D5FF-9047-95A5-C8E5DC0C782E}">
  <sheetPr>
    <tabColor rgb="FF00B050"/>
  </sheetPr>
  <dimension ref="A1:AP28"/>
  <sheetViews>
    <sheetView workbookViewId="0">
      <selection activeCell="H34" sqref="H34"/>
    </sheetView>
  </sheetViews>
  <sheetFormatPr baseColWidth="10" defaultRowHeight="16"/>
  <sheetData>
    <row r="1" spans="1:42">
      <c r="A1" s="1" t="s">
        <v>6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  <c r="AG1">
        <v>2051</v>
      </c>
      <c r="AH1">
        <v>2052</v>
      </c>
      <c r="AI1">
        <v>2053</v>
      </c>
      <c r="AJ1">
        <v>2054</v>
      </c>
      <c r="AK1">
        <v>2055</v>
      </c>
      <c r="AL1">
        <v>2056</v>
      </c>
      <c r="AM1">
        <v>2057</v>
      </c>
      <c r="AN1">
        <v>2058</v>
      </c>
      <c r="AO1">
        <v>2059</v>
      </c>
      <c r="AP1" s="2">
        <v>2060</v>
      </c>
    </row>
    <row r="2" spans="1:42" s="50" customFormat="1">
      <c r="A2" s="47" t="s">
        <v>9</v>
      </c>
      <c r="B2" s="60"/>
    </row>
    <row r="3" spans="1:42" s="50" customFormat="1">
      <c r="A3" s="47" t="s">
        <v>10</v>
      </c>
      <c r="B3" s="60"/>
    </row>
    <row r="4" spans="1:42" s="54" customFormat="1">
      <c r="A4" s="51" t="s">
        <v>11</v>
      </c>
      <c r="B4" s="62"/>
    </row>
    <row r="5" spans="1:42" s="46" customFormat="1">
      <c r="A5" s="43" t="s">
        <v>12</v>
      </c>
      <c r="B5" s="59"/>
    </row>
    <row r="6" spans="1:42">
      <c r="A6" s="2" t="s">
        <v>13</v>
      </c>
      <c r="B6" s="35"/>
    </row>
    <row r="7" spans="1:42" s="54" customFormat="1">
      <c r="A7" s="51" t="s">
        <v>14</v>
      </c>
      <c r="B7" s="62"/>
    </row>
    <row r="8" spans="1:42" s="58" customFormat="1">
      <c r="A8" s="55" t="s">
        <v>15</v>
      </c>
      <c r="B8" s="61"/>
    </row>
    <row r="9" spans="1:42" s="58" customFormat="1">
      <c r="A9" s="55" t="s">
        <v>16</v>
      </c>
      <c r="B9" s="61"/>
    </row>
    <row r="10" spans="1:42" s="58" customFormat="1">
      <c r="A10" s="55" t="s">
        <v>17</v>
      </c>
      <c r="B10" s="61"/>
    </row>
    <row r="11" spans="1:42" s="50" customFormat="1">
      <c r="A11" s="47" t="s">
        <v>18</v>
      </c>
      <c r="B11" s="60"/>
    </row>
    <row r="12" spans="1:42" s="50" customFormat="1">
      <c r="A12" s="47" t="s">
        <v>19</v>
      </c>
      <c r="B12" s="60"/>
    </row>
    <row r="13" spans="1:42" s="46" customFormat="1">
      <c r="A13" s="43" t="s">
        <v>20</v>
      </c>
      <c r="B13" s="59"/>
    </row>
    <row r="14" spans="1:42" s="54" customFormat="1">
      <c r="A14" s="51" t="s">
        <v>21</v>
      </c>
      <c r="B14" s="62"/>
    </row>
    <row r="15" spans="1:42" s="50" customFormat="1">
      <c r="A15" s="47" t="s">
        <v>22</v>
      </c>
      <c r="B15" s="60"/>
    </row>
    <row r="16" spans="1:42" s="46" customFormat="1">
      <c r="A16" s="43" t="s">
        <v>23</v>
      </c>
      <c r="B16" s="59"/>
    </row>
    <row r="17" spans="1:2" s="58" customFormat="1">
      <c r="A17" s="55" t="s">
        <v>24</v>
      </c>
      <c r="B17" s="61"/>
    </row>
    <row r="18" spans="1:2" s="58" customFormat="1">
      <c r="A18" s="55" t="s">
        <v>25</v>
      </c>
      <c r="B18" s="61"/>
    </row>
    <row r="19" spans="1:2" s="50" customFormat="1">
      <c r="A19" s="47" t="s">
        <v>26</v>
      </c>
      <c r="B19" s="60"/>
    </row>
    <row r="20" spans="1:2">
      <c r="A20" s="2" t="s">
        <v>27</v>
      </c>
      <c r="B20" s="35"/>
    </row>
    <row r="21" spans="1:2" s="50" customFormat="1">
      <c r="A21" s="47" t="s">
        <v>28</v>
      </c>
      <c r="B21" s="60"/>
    </row>
    <row r="22" spans="1:2" s="54" customFormat="1">
      <c r="A22" s="51" t="s">
        <v>29</v>
      </c>
      <c r="B22" s="62"/>
    </row>
    <row r="23" spans="1:2" s="46" customFormat="1">
      <c r="A23" s="43" t="s">
        <v>30</v>
      </c>
      <c r="B23" s="59"/>
    </row>
    <row r="24" spans="1:2" s="54" customFormat="1">
      <c r="A24" s="51" t="s">
        <v>31</v>
      </c>
      <c r="B24" s="62"/>
    </row>
    <row r="25" spans="1:2" s="54" customFormat="1">
      <c r="A25" s="51" t="s">
        <v>32</v>
      </c>
      <c r="B25" s="62"/>
    </row>
    <row r="26" spans="1:2" s="46" customFormat="1">
      <c r="A26" s="43" t="s">
        <v>33</v>
      </c>
      <c r="B26" s="59"/>
    </row>
    <row r="27" spans="1:2" s="46" customFormat="1">
      <c r="A27" s="43" t="s">
        <v>34</v>
      </c>
      <c r="B27" s="59"/>
    </row>
    <row r="28" spans="1:2" s="58" customFormat="1">
      <c r="A28" s="55" t="s">
        <v>35</v>
      </c>
      <c r="B28" s="6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37ABC7-6B01-6C41-B757-9DE6E4DFF7CC}">
  <dimension ref="A1:N46"/>
  <sheetViews>
    <sheetView topLeftCell="A11" workbookViewId="0">
      <selection activeCell="L33" sqref="L33"/>
    </sheetView>
  </sheetViews>
  <sheetFormatPr baseColWidth="10" defaultRowHeight="16"/>
  <cols>
    <col min="12" max="12" width="21.33203125" customWidth="1"/>
  </cols>
  <sheetData>
    <row r="1" spans="1:14">
      <c r="A1" s="9" t="s">
        <v>44</v>
      </c>
      <c r="B1" s="9"/>
      <c r="C1" s="9"/>
      <c r="D1" s="9"/>
      <c r="E1" s="9"/>
      <c r="F1" s="10"/>
      <c r="G1" s="10"/>
      <c r="H1" s="10"/>
      <c r="I1" s="10"/>
      <c r="J1" s="10"/>
      <c r="K1" s="10"/>
    </row>
    <row r="2" spans="1:14">
      <c r="A2" s="9" t="s">
        <v>45</v>
      </c>
      <c r="B2" s="11" t="s">
        <v>46</v>
      </c>
      <c r="C2" s="11"/>
      <c r="D2" s="11"/>
      <c r="E2" s="11"/>
      <c r="F2" s="11"/>
      <c r="G2" s="11"/>
      <c r="H2" s="11"/>
      <c r="I2" s="11"/>
      <c r="J2" s="10"/>
      <c r="K2" s="10"/>
    </row>
    <row r="3" spans="1:14">
      <c r="A3" s="9" t="s">
        <v>47</v>
      </c>
      <c r="B3" s="9" t="s">
        <v>48</v>
      </c>
      <c r="C3" s="9"/>
      <c r="D3" s="10"/>
      <c r="E3" s="10"/>
      <c r="F3" s="10"/>
      <c r="G3" s="10"/>
      <c r="H3" s="10"/>
      <c r="I3" s="10"/>
      <c r="J3" s="10"/>
      <c r="K3" s="10"/>
    </row>
    <row r="4" spans="1:14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</row>
    <row r="5" spans="1:14">
      <c r="A5" s="11" t="s">
        <v>49</v>
      </c>
      <c r="B5" s="10"/>
      <c r="C5" s="9" t="s">
        <v>50</v>
      </c>
      <c r="D5" s="9"/>
      <c r="E5" s="10"/>
      <c r="F5" s="10"/>
      <c r="G5" s="10"/>
      <c r="H5" s="10"/>
      <c r="I5" s="10"/>
      <c r="J5" s="10"/>
      <c r="K5" s="10"/>
    </row>
    <row r="6" spans="1:14">
      <c r="A6" s="11" t="s">
        <v>51</v>
      </c>
      <c r="B6" s="11"/>
      <c r="C6" s="9" t="s">
        <v>52</v>
      </c>
      <c r="D6" s="9"/>
      <c r="E6" s="9"/>
      <c r="F6" s="9"/>
      <c r="G6" s="10"/>
      <c r="H6" s="10"/>
      <c r="I6" s="10"/>
      <c r="J6" s="10"/>
      <c r="K6" s="10"/>
    </row>
    <row r="7" spans="1:14">
      <c r="A7" s="11" t="s">
        <v>53</v>
      </c>
      <c r="B7" s="11"/>
      <c r="C7" s="9" t="s">
        <v>54</v>
      </c>
      <c r="D7" s="9"/>
      <c r="E7" s="10"/>
      <c r="F7" s="10"/>
      <c r="G7" s="10"/>
      <c r="H7" s="10"/>
      <c r="I7" s="10"/>
      <c r="J7" s="10"/>
      <c r="K7" s="10"/>
    </row>
    <row r="8" spans="1:14">
      <c r="A8" s="11" t="s">
        <v>55</v>
      </c>
      <c r="B8" s="11"/>
      <c r="C8" s="9" t="s">
        <v>56</v>
      </c>
      <c r="D8" s="9"/>
      <c r="E8" s="9"/>
      <c r="F8" s="9"/>
      <c r="G8" s="9"/>
      <c r="H8" s="9"/>
      <c r="I8" s="9"/>
      <c r="J8" s="9"/>
      <c r="K8" s="10"/>
    </row>
    <row r="9" spans="1:14">
      <c r="A9" s="11" t="s">
        <v>57</v>
      </c>
      <c r="B9" s="11"/>
      <c r="C9" s="9" t="s">
        <v>58</v>
      </c>
      <c r="D9" s="9"/>
      <c r="E9" s="9"/>
      <c r="F9" s="10"/>
      <c r="G9" s="10"/>
      <c r="H9" s="10"/>
      <c r="I9" s="10"/>
      <c r="J9" s="10"/>
      <c r="K9" s="10"/>
    </row>
    <row r="10" spans="1:14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4">
      <c r="A11" s="21" t="s">
        <v>59</v>
      </c>
      <c r="B11" s="19" t="s">
        <v>71</v>
      </c>
      <c r="C11" s="20" t="s">
        <v>72</v>
      </c>
      <c r="D11" s="19" t="s">
        <v>73</v>
      </c>
      <c r="E11" s="20" t="s">
        <v>74</v>
      </c>
      <c r="F11" s="19" t="s">
        <v>75</v>
      </c>
      <c r="G11" s="20" t="s">
        <v>76</v>
      </c>
      <c r="H11" s="19" t="s">
        <v>77</v>
      </c>
      <c r="I11" s="20" t="s">
        <v>78</v>
      </c>
      <c r="J11" s="19" t="s">
        <v>79</v>
      </c>
      <c r="K11" s="20" t="s">
        <v>80</v>
      </c>
      <c r="L11" t="s">
        <v>83</v>
      </c>
      <c r="M11" t="s">
        <v>81</v>
      </c>
      <c r="N11" t="s">
        <v>82</v>
      </c>
    </row>
    <row r="12" spans="1:14">
      <c r="A12" s="22" t="s">
        <v>9</v>
      </c>
      <c r="B12" s="14">
        <v>13.1</v>
      </c>
      <c r="C12" s="15" t="s">
        <v>63</v>
      </c>
      <c r="D12" s="14">
        <v>10.7</v>
      </c>
      <c r="E12" s="15" t="s">
        <v>63</v>
      </c>
      <c r="F12" s="14">
        <v>8.1</v>
      </c>
      <c r="G12" s="15" t="s">
        <v>63</v>
      </c>
      <c r="H12" s="14">
        <v>6.9</v>
      </c>
      <c r="I12" s="15" t="s">
        <v>63</v>
      </c>
      <c r="J12" s="14">
        <v>6.5</v>
      </c>
      <c r="K12" s="15" t="s">
        <v>63</v>
      </c>
      <c r="L12" s="18">
        <f t="shared" ref="L12:L39" si="0">AVERAGE(B12,D12,F12,H12,J12)</f>
        <v>9.0599999999999987</v>
      </c>
      <c r="M12" s="6" t="s">
        <v>9</v>
      </c>
      <c r="N12" t="b">
        <f>Table2[[#This Row],[Column7]]=Table2[[#This Row],[TIME]]</f>
        <v>1</v>
      </c>
    </row>
    <row r="13" spans="1:14">
      <c r="A13" s="22" t="s">
        <v>10</v>
      </c>
      <c r="B13" s="12">
        <v>18.899999999999999</v>
      </c>
      <c r="C13" s="13" t="s">
        <v>60</v>
      </c>
      <c r="D13" s="12">
        <v>16.100000000000001</v>
      </c>
      <c r="E13" s="13" t="s">
        <v>60</v>
      </c>
      <c r="F13" s="12">
        <v>16.2</v>
      </c>
      <c r="G13" s="13" t="s">
        <v>60</v>
      </c>
      <c r="H13" s="12">
        <v>14.1</v>
      </c>
      <c r="I13" s="13" t="s">
        <v>60</v>
      </c>
      <c r="J13" s="12">
        <v>13.4</v>
      </c>
      <c r="K13" s="13" t="s">
        <v>60</v>
      </c>
      <c r="L13" s="18">
        <f t="shared" si="0"/>
        <v>15.74</v>
      </c>
      <c r="M13" s="2" t="s">
        <v>10</v>
      </c>
      <c r="N13" t="b">
        <f>Table2[[#This Row],[Column7]]=Table2[[#This Row],[TIME]]</f>
        <v>1</v>
      </c>
    </row>
    <row r="14" spans="1:14">
      <c r="A14" s="22" t="s">
        <v>11</v>
      </c>
      <c r="B14" s="14">
        <v>7.4</v>
      </c>
      <c r="C14" s="15" t="s">
        <v>61</v>
      </c>
      <c r="D14" s="14">
        <v>8.3000000000000007</v>
      </c>
      <c r="E14" s="15" t="s">
        <v>61</v>
      </c>
      <c r="F14" s="14">
        <v>8.5</v>
      </c>
      <c r="G14" s="15" t="s">
        <v>61</v>
      </c>
      <c r="H14" s="16">
        <v>7</v>
      </c>
      <c r="I14" s="15" t="s">
        <v>61</v>
      </c>
      <c r="J14" s="14">
        <v>8.6</v>
      </c>
      <c r="K14" s="15" t="s">
        <v>61</v>
      </c>
      <c r="L14" s="18">
        <f t="shared" si="0"/>
        <v>7.9600000000000009</v>
      </c>
      <c r="M14" s="2" t="s">
        <v>11</v>
      </c>
      <c r="N14" t="b">
        <f>Table2[[#This Row],[Column7]]=Table2[[#This Row],[TIME]]</f>
        <v>1</v>
      </c>
    </row>
    <row r="15" spans="1:14">
      <c r="A15" s="22" t="s">
        <v>12</v>
      </c>
      <c r="B15" s="12">
        <v>2.9</v>
      </c>
      <c r="C15" s="13"/>
      <c r="D15" s="12">
        <v>3.5</v>
      </c>
      <c r="E15" s="13"/>
      <c r="F15" s="12">
        <v>3.6</v>
      </c>
      <c r="G15" s="13"/>
      <c r="H15" s="12">
        <v>3.8</v>
      </c>
      <c r="I15" s="13"/>
      <c r="J15" s="12">
        <v>3.4</v>
      </c>
      <c r="K15" s="13"/>
      <c r="L15" s="18">
        <f t="shared" si="0"/>
        <v>3.44</v>
      </c>
      <c r="M15" s="2" t="s">
        <v>12</v>
      </c>
      <c r="N15" t="b">
        <f>Table2[[#This Row],[Column7]]=Table2[[#This Row],[TIME]]</f>
        <v>1</v>
      </c>
    </row>
    <row r="16" spans="1:14">
      <c r="A16" s="22" t="s">
        <v>13</v>
      </c>
      <c r="B16" s="12">
        <v>2.2999999999999998</v>
      </c>
      <c r="C16" s="13"/>
      <c r="D16" s="12">
        <v>2.2000000000000002</v>
      </c>
      <c r="E16" s="13"/>
      <c r="F16" s="12">
        <v>2.2999999999999998</v>
      </c>
      <c r="G16" s="13"/>
      <c r="H16" s="12">
        <v>2.2999999999999998</v>
      </c>
      <c r="I16" s="13"/>
      <c r="J16" s="12">
        <v>3.3</v>
      </c>
      <c r="K16" s="13"/>
      <c r="L16" s="18">
        <f t="shared" si="0"/>
        <v>2.4799999999999995</v>
      </c>
      <c r="M16" s="2" t="s">
        <v>13</v>
      </c>
      <c r="N16" t="b">
        <f>Table2[[#This Row],[Column7]]=Table2[[#This Row],[TIME]]</f>
        <v>1</v>
      </c>
    </row>
    <row r="17" spans="1:14">
      <c r="A17" s="22" t="s">
        <v>14</v>
      </c>
      <c r="B17" s="12">
        <v>8.5</v>
      </c>
      <c r="C17" s="13" t="s">
        <v>61</v>
      </c>
      <c r="D17" s="12">
        <v>8.1</v>
      </c>
      <c r="E17" s="13" t="s">
        <v>61</v>
      </c>
      <c r="F17" s="12">
        <v>7.4</v>
      </c>
      <c r="G17" s="13" t="s">
        <v>61</v>
      </c>
      <c r="H17" s="12">
        <v>7.4</v>
      </c>
      <c r="I17" s="13" t="s">
        <v>61</v>
      </c>
      <c r="J17" s="12">
        <v>6.5</v>
      </c>
      <c r="K17" s="13" t="s">
        <v>61</v>
      </c>
      <c r="L17" s="18">
        <f t="shared" si="0"/>
        <v>7.58</v>
      </c>
      <c r="M17" s="2" t="s">
        <v>14</v>
      </c>
      <c r="N17" t="b">
        <f>Table2[[#This Row],[Column7]]=Table2[[#This Row],[TIME]]</f>
        <v>1</v>
      </c>
    </row>
    <row r="18" spans="1:14">
      <c r="A18" s="22" t="s">
        <v>15</v>
      </c>
      <c r="B18" s="14">
        <v>10.1</v>
      </c>
      <c r="C18" s="15"/>
      <c r="D18" s="14">
        <v>8.5</v>
      </c>
      <c r="E18" s="15"/>
      <c r="F18" s="14">
        <v>6.8</v>
      </c>
      <c r="G18" s="15"/>
      <c r="H18" s="14">
        <v>6.4</v>
      </c>
      <c r="I18" s="15" t="s">
        <v>60</v>
      </c>
      <c r="J18" s="14">
        <v>6.3</v>
      </c>
      <c r="K18" s="15" t="s">
        <v>60</v>
      </c>
      <c r="L18" s="18">
        <f t="shared" si="0"/>
        <v>7.62</v>
      </c>
      <c r="M18" s="2" t="s">
        <v>15</v>
      </c>
      <c r="N18" t="b">
        <f>Table2[[#This Row],[Column7]]=Table2[[#This Row],[TIME]]</f>
        <v>1</v>
      </c>
    </row>
    <row r="19" spans="1:14">
      <c r="A19" s="22" t="s">
        <v>16</v>
      </c>
      <c r="B19" s="16">
        <v>2</v>
      </c>
      <c r="C19" s="15" t="s">
        <v>61</v>
      </c>
      <c r="D19" s="14">
        <v>1.6</v>
      </c>
      <c r="E19" s="15" t="s">
        <v>61</v>
      </c>
      <c r="F19" s="14">
        <v>1.5</v>
      </c>
      <c r="G19" s="15" t="s">
        <v>61</v>
      </c>
      <c r="H19" s="14">
        <v>1.5</v>
      </c>
      <c r="I19" s="15" t="s">
        <v>61</v>
      </c>
      <c r="J19" s="14">
        <v>1.6</v>
      </c>
      <c r="K19" s="15" t="s">
        <v>61</v>
      </c>
      <c r="L19" s="18">
        <f t="shared" si="0"/>
        <v>1.64</v>
      </c>
      <c r="M19" s="2" t="s">
        <v>16</v>
      </c>
      <c r="N19" t="b">
        <f>Table2[[#This Row],[Column7]]=Table2[[#This Row],[TIME]]</f>
        <v>1</v>
      </c>
    </row>
    <row r="20" spans="1:14">
      <c r="A20" s="22" t="s">
        <v>17</v>
      </c>
      <c r="B20" s="14">
        <v>8.9</v>
      </c>
      <c r="C20" s="15"/>
      <c r="D20" s="14">
        <v>7.2</v>
      </c>
      <c r="E20" s="15"/>
      <c r="F20" s="14">
        <v>5.7</v>
      </c>
      <c r="G20" s="15"/>
      <c r="H20" s="14">
        <v>5.3</v>
      </c>
      <c r="I20" s="15"/>
      <c r="J20" s="14">
        <v>5.3</v>
      </c>
      <c r="K20" s="15"/>
      <c r="L20" s="18">
        <f t="shared" si="0"/>
        <v>6.4799999999999995</v>
      </c>
      <c r="M20" s="2" t="s">
        <v>17</v>
      </c>
      <c r="N20" t="b">
        <f>Table2[[#This Row],[Column7]]=Table2[[#This Row],[TIME]]</f>
        <v>1</v>
      </c>
    </row>
    <row r="21" spans="1:14">
      <c r="A21" s="22" t="s">
        <v>18</v>
      </c>
      <c r="B21" s="14">
        <v>78.5</v>
      </c>
      <c r="C21" s="15" t="s">
        <v>61</v>
      </c>
      <c r="D21" s="14">
        <v>80.900000000000006</v>
      </c>
      <c r="E21" s="15" t="s">
        <v>61</v>
      </c>
      <c r="F21" s="14">
        <v>67.400000000000006</v>
      </c>
      <c r="G21" s="15" t="s">
        <v>61</v>
      </c>
      <c r="H21" s="14">
        <v>62.8</v>
      </c>
      <c r="I21" s="15" t="s">
        <v>61</v>
      </c>
      <c r="J21" s="14">
        <v>66.3</v>
      </c>
      <c r="K21" s="15" t="s">
        <v>61</v>
      </c>
      <c r="L21" s="18">
        <f t="shared" si="0"/>
        <v>71.180000000000007</v>
      </c>
      <c r="M21" s="2" t="s">
        <v>18</v>
      </c>
      <c r="N21" t="b">
        <f>Table2[[#This Row],[Column7]]=Table2[[#This Row],[TIME]]</f>
        <v>1</v>
      </c>
    </row>
    <row r="22" spans="1:14">
      <c r="A22" s="22" t="s">
        <v>19</v>
      </c>
      <c r="B22" s="17">
        <v>75</v>
      </c>
      <c r="C22" s="13" t="s">
        <v>61</v>
      </c>
      <c r="D22" s="12">
        <v>69.8</v>
      </c>
      <c r="E22" s="13" t="s">
        <v>61</v>
      </c>
      <c r="F22" s="12">
        <v>51.7</v>
      </c>
      <c r="G22" s="13" t="s">
        <v>61</v>
      </c>
      <c r="H22" s="12">
        <v>45.4</v>
      </c>
      <c r="I22" s="13" t="s">
        <v>61</v>
      </c>
      <c r="J22" s="12">
        <v>46.5</v>
      </c>
      <c r="K22" s="13" t="s">
        <v>61</v>
      </c>
      <c r="L22" s="18">
        <f t="shared" si="0"/>
        <v>57.679999999999993</v>
      </c>
      <c r="M22" s="2" t="s">
        <v>19</v>
      </c>
      <c r="N22" t="b">
        <f>Table2[[#This Row],[Column7]]=Table2[[#This Row],[TIME]]</f>
        <v>1</v>
      </c>
    </row>
    <row r="23" spans="1:14">
      <c r="A23" s="22" t="s">
        <v>20</v>
      </c>
      <c r="B23" s="14">
        <v>3.7</v>
      </c>
      <c r="C23" s="15" t="s">
        <v>60</v>
      </c>
      <c r="D23" s="14">
        <v>3.6</v>
      </c>
      <c r="E23" s="15" t="s">
        <v>60</v>
      </c>
      <c r="F23" s="14">
        <v>4.2</v>
      </c>
      <c r="G23" s="15" t="s">
        <v>61</v>
      </c>
      <c r="H23" s="14">
        <v>5.2</v>
      </c>
      <c r="I23" s="15" t="s">
        <v>61</v>
      </c>
      <c r="J23" s="14">
        <v>4.3</v>
      </c>
      <c r="K23" s="15" t="s">
        <v>61</v>
      </c>
      <c r="L23" s="18">
        <f t="shared" si="0"/>
        <v>4.2</v>
      </c>
      <c r="M23" s="2" t="s">
        <v>20</v>
      </c>
      <c r="N23" t="b">
        <f>Table2[[#This Row],[Column7]]=Table2[[#This Row],[TIME]]</f>
        <v>1</v>
      </c>
    </row>
    <row r="24" spans="1:14">
      <c r="A24" s="22" t="s">
        <v>21</v>
      </c>
      <c r="B24" s="12">
        <v>8.4</v>
      </c>
      <c r="C24" s="13" t="s">
        <v>61</v>
      </c>
      <c r="D24" s="17">
        <v>9</v>
      </c>
      <c r="E24" s="13" t="s">
        <v>61</v>
      </c>
      <c r="F24" s="17">
        <v>7</v>
      </c>
      <c r="G24" s="13" t="s">
        <v>61</v>
      </c>
      <c r="H24" s="12">
        <v>5.2</v>
      </c>
      <c r="I24" s="13" t="s">
        <v>61</v>
      </c>
      <c r="J24" s="17">
        <v>6</v>
      </c>
      <c r="K24" s="13" t="s">
        <v>61</v>
      </c>
      <c r="L24" s="18">
        <f t="shared" si="0"/>
        <v>7.1199999999999992</v>
      </c>
      <c r="M24" s="2" t="s">
        <v>21</v>
      </c>
      <c r="N24" t="b">
        <f>Table2[[#This Row],[Column7]]=Table2[[#This Row],[TIME]]</f>
        <v>1</v>
      </c>
    </row>
    <row r="25" spans="1:14">
      <c r="A25" s="22" t="s">
        <v>22</v>
      </c>
      <c r="B25" s="12">
        <v>7.6</v>
      </c>
      <c r="C25" s="13"/>
      <c r="D25" s="12">
        <v>6.3</v>
      </c>
      <c r="E25" s="13"/>
      <c r="F25" s="12">
        <v>6.9</v>
      </c>
      <c r="G25" s="13"/>
      <c r="H25" s="12">
        <v>6.1</v>
      </c>
      <c r="I25" s="13"/>
      <c r="J25" s="17">
        <v>6</v>
      </c>
      <c r="K25" s="13"/>
      <c r="L25" s="18">
        <f t="shared" si="0"/>
        <v>6.58</v>
      </c>
      <c r="M25" s="2" t="s">
        <v>22</v>
      </c>
      <c r="N25" t="b">
        <f>Table2[[#This Row],[Column7]]=Table2[[#This Row],[TIME]]</f>
        <v>1</v>
      </c>
    </row>
    <row r="26" spans="1:14">
      <c r="A26" s="22" t="s">
        <v>23</v>
      </c>
      <c r="B26" s="14">
        <v>12.7</v>
      </c>
      <c r="C26" s="15" t="s">
        <v>61</v>
      </c>
      <c r="D26" s="14">
        <v>13.1</v>
      </c>
      <c r="E26" s="15" t="s">
        <v>61</v>
      </c>
      <c r="F26" s="14">
        <v>12.6</v>
      </c>
      <c r="G26" s="15" t="s">
        <v>61</v>
      </c>
      <c r="H26" s="14">
        <v>12.8</v>
      </c>
      <c r="I26" s="15" t="s">
        <v>61</v>
      </c>
      <c r="J26" s="15" t="s">
        <v>62</v>
      </c>
      <c r="K26" s="15"/>
      <c r="L26" s="18">
        <f t="shared" si="0"/>
        <v>12.8</v>
      </c>
      <c r="M26" s="2" t="s">
        <v>23</v>
      </c>
      <c r="N26" t="b">
        <f>Table2[[#This Row],[Column7]]=Table2[[#This Row],[TIME]]</f>
        <v>1</v>
      </c>
    </row>
    <row r="27" spans="1:14">
      <c r="A27" s="22" t="s">
        <v>24</v>
      </c>
      <c r="B27" s="14">
        <v>1.6</v>
      </c>
      <c r="C27" s="15"/>
      <c r="D27" s="14">
        <v>1.3</v>
      </c>
      <c r="E27" s="15"/>
      <c r="F27" s="14">
        <v>1.3</v>
      </c>
      <c r="G27" s="15"/>
      <c r="H27" s="14">
        <v>1.5</v>
      </c>
      <c r="I27" s="15"/>
      <c r="J27" s="14">
        <v>1.8</v>
      </c>
      <c r="K27" s="15"/>
      <c r="L27" s="18">
        <f t="shared" si="0"/>
        <v>1.5</v>
      </c>
      <c r="M27" s="2" t="s">
        <v>24</v>
      </c>
      <c r="N27" t="b">
        <f>Table2[[#This Row],[Column7]]=Table2[[#This Row],[TIME]]</f>
        <v>1</v>
      </c>
    </row>
    <row r="28" spans="1:14">
      <c r="A28" s="22" t="s">
        <v>25</v>
      </c>
      <c r="B28" s="12">
        <v>3.6</v>
      </c>
      <c r="C28" s="13"/>
      <c r="D28" s="12">
        <v>3.1</v>
      </c>
      <c r="E28" s="13"/>
      <c r="F28" s="12">
        <v>2.9</v>
      </c>
      <c r="G28" s="13"/>
      <c r="H28" s="12">
        <v>3.5</v>
      </c>
      <c r="I28" s="13"/>
      <c r="J28" s="17">
        <v>3</v>
      </c>
      <c r="K28" s="13"/>
      <c r="L28" s="18">
        <f t="shared" si="0"/>
        <v>3.22</v>
      </c>
      <c r="M28" s="2" t="s">
        <v>25</v>
      </c>
      <c r="N28" t="b">
        <f>Table2[[#This Row],[Column7]]=Table2[[#This Row],[TIME]]</f>
        <v>1</v>
      </c>
    </row>
    <row r="29" spans="1:14">
      <c r="A29" s="22" t="s">
        <v>26</v>
      </c>
      <c r="B29" s="14">
        <v>1.8</v>
      </c>
      <c r="C29" s="15"/>
      <c r="D29" s="14">
        <v>1.3</v>
      </c>
      <c r="E29" s="15"/>
      <c r="F29" s="14">
        <v>1.1000000000000001</v>
      </c>
      <c r="G29" s="15"/>
      <c r="H29" s="14">
        <v>0.9</v>
      </c>
      <c r="I29" s="15" t="s">
        <v>60</v>
      </c>
      <c r="J29" s="15" t="s">
        <v>62</v>
      </c>
      <c r="K29" s="15"/>
      <c r="L29" s="18">
        <f t="shared" si="0"/>
        <v>1.2750000000000001</v>
      </c>
      <c r="M29" s="2" t="s">
        <v>26</v>
      </c>
      <c r="N29" t="b">
        <f>Table2[[#This Row],[Column7]]=Table2[[#This Row],[TIME]]</f>
        <v>1</v>
      </c>
    </row>
    <row r="30" spans="1:14">
      <c r="A30" s="22" t="s">
        <v>27</v>
      </c>
      <c r="B30" s="14">
        <v>1.7</v>
      </c>
      <c r="C30" s="15"/>
      <c r="D30" s="16">
        <v>2</v>
      </c>
      <c r="E30" s="15"/>
      <c r="F30" s="14">
        <v>1.7</v>
      </c>
      <c r="G30" s="15"/>
      <c r="H30" s="14">
        <v>1.8</v>
      </c>
      <c r="I30" s="15"/>
      <c r="J30" s="14">
        <v>2.5</v>
      </c>
      <c r="K30" s="15"/>
      <c r="L30" s="18">
        <f t="shared" si="0"/>
        <v>1.94</v>
      </c>
      <c r="M30" s="2" t="s">
        <v>27</v>
      </c>
      <c r="N30" t="b">
        <f>Table2[[#This Row],[Column7]]=Table2[[#This Row],[TIME]]</f>
        <v>1</v>
      </c>
    </row>
    <row r="31" spans="1:14">
      <c r="A31" s="22" t="s">
        <v>28</v>
      </c>
      <c r="B31" s="12">
        <v>23.9</v>
      </c>
      <c r="C31" s="13" t="s">
        <v>60</v>
      </c>
      <c r="D31" s="12">
        <v>20.399999999999999</v>
      </c>
      <c r="E31" s="13" t="s">
        <v>60</v>
      </c>
      <c r="F31" s="12">
        <v>16.8</v>
      </c>
      <c r="G31" s="13" t="s">
        <v>60</v>
      </c>
      <c r="H31" s="12">
        <v>18.899999999999999</v>
      </c>
      <c r="I31" s="13" t="s">
        <v>60</v>
      </c>
      <c r="J31" s="12">
        <v>14.8</v>
      </c>
      <c r="K31" s="13" t="s">
        <v>60</v>
      </c>
      <c r="L31" s="18">
        <f t="shared" si="0"/>
        <v>18.96</v>
      </c>
      <c r="M31" s="2" t="s">
        <v>28</v>
      </c>
      <c r="N31" t="b">
        <f>Table2[[#This Row],[Column7]]=Table2[[#This Row],[TIME]]</f>
        <v>1</v>
      </c>
    </row>
    <row r="32" spans="1:14" s="28" customFormat="1">
      <c r="A32" s="23" t="s">
        <v>64</v>
      </c>
      <c r="B32" s="24">
        <v>9.6999999999999993</v>
      </c>
      <c r="C32" s="25"/>
      <c r="D32" s="25" t="s">
        <v>62</v>
      </c>
      <c r="E32" s="25"/>
      <c r="F32" s="25" t="s">
        <v>62</v>
      </c>
      <c r="G32" s="25"/>
      <c r="H32" s="25" t="s">
        <v>62</v>
      </c>
      <c r="I32" s="25"/>
      <c r="J32" s="25" t="s">
        <v>62</v>
      </c>
      <c r="K32" s="25"/>
      <c r="L32" s="26">
        <f t="shared" si="0"/>
        <v>9.6999999999999993</v>
      </c>
      <c r="M32" s="27"/>
      <c r="N32" s="28" t="b">
        <f>Table2[[#This Row],[Column7]]=Table2[[#This Row],[TIME]]</f>
        <v>0</v>
      </c>
    </row>
    <row r="33" spans="1:14">
      <c r="A33" s="22" t="s">
        <v>29</v>
      </c>
      <c r="B33" s="12">
        <v>52.2</v>
      </c>
      <c r="C33" s="13"/>
      <c r="D33" s="12">
        <v>46.6</v>
      </c>
      <c r="E33" s="13"/>
      <c r="F33" s="12">
        <v>37.700000000000003</v>
      </c>
      <c r="G33" s="13"/>
      <c r="H33" s="12">
        <v>40.799999999999997</v>
      </c>
      <c r="I33" s="13"/>
      <c r="J33" s="12">
        <v>40.700000000000003</v>
      </c>
      <c r="K33" s="13"/>
      <c r="L33" s="18">
        <f t="shared" si="0"/>
        <v>43.6</v>
      </c>
      <c r="M33" s="2" t="s">
        <v>29</v>
      </c>
      <c r="N33" t="b">
        <f>Table2[[#This Row],[Column7]]=Table2[[#This Row],[TIME]]</f>
        <v>1</v>
      </c>
    </row>
    <row r="34" spans="1:14">
      <c r="A34" s="22" t="s">
        <v>30</v>
      </c>
      <c r="B34" s="14">
        <v>9.1</v>
      </c>
      <c r="C34" s="15"/>
      <c r="D34" s="14">
        <v>9.5</v>
      </c>
      <c r="E34" s="15" t="s">
        <v>60</v>
      </c>
      <c r="F34" s="14">
        <v>9.5</v>
      </c>
      <c r="G34" s="15" t="s">
        <v>60</v>
      </c>
      <c r="H34" s="14">
        <v>11.2</v>
      </c>
      <c r="I34" s="15" t="s">
        <v>60</v>
      </c>
      <c r="J34" s="14">
        <v>11.3</v>
      </c>
      <c r="K34" s="15" t="s">
        <v>60</v>
      </c>
      <c r="L34" s="18">
        <f t="shared" si="0"/>
        <v>10.119999999999999</v>
      </c>
      <c r="M34" s="2" t="s">
        <v>30</v>
      </c>
      <c r="N34" t="b">
        <f>Table2[[#This Row],[Column7]]=Table2[[#This Row],[TIME]]</f>
        <v>1</v>
      </c>
    </row>
    <row r="35" spans="1:14">
      <c r="A35" s="22" t="s">
        <v>31</v>
      </c>
      <c r="B35" s="12">
        <v>15.4</v>
      </c>
      <c r="C35" s="13" t="s">
        <v>61</v>
      </c>
      <c r="D35" s="12">
        <v>15.2</v>
      </c>
      <c r="E35" s="13" t="s">
        <v>61</v>
      </c>
      <c r="F35" s="12">
        <v>12.7</v>
      </c>
      <c r="G35" s="13" t="s">
        <v>61</v>
      </c>
      <c r="H35" s="12">
        <v>12.3</v>
      </c>
      <c r="I35" s="13" t="s">
        <v>61</v>
      </c>
      <c r="J35" s="12">
        <v>13.7</v>
      </c>
      <c r="K35" s="13" t="s">
        <v>61</v>
      </c>
      <c r="L35" s="18">
        <f t="shared" si="0"/>
        <v>13.86</v>
      </c>
      <c r="M35" s="2" t="s">
        <v>31</v>
      </c>
      <c r="N35" t="b">
        <f>Table2[[#This Row],[Column7]]=Table2[[#This Row],[TIME]]</f>
        <v>1</v>
      </c>
    </row>
    <row r="36" spans="1:14">
      <c r="A36" s="22" t="s">
        <v>32</v>
      </c>
      <c r="B36" s="12">
        <v>3.4</v>
      </c>
      <c r="C36" s="13"/>
      <c r="D36" s="17">
        <v>3</v>
      </c>
      <c r="E36" s="13"/>
      <c r="F36" s="17">
        <v>3</v>
      </c>
      <c r="G36" s="13"/>
      <c r="H36" s="12">
        <v>2.7</v>
      </c>
      <c r="I36" s="13"/>
      <c r="J36" s="12">
        <v>2.5</v>
      </c>
      <c r="K36" s="13" t="s">
        <v>60</v>
      </c>
      <c r="L36" s="18">
        <f t="shared" si="0"/>
        <v>2.9200000000000004</v>
      </c>
      <c r="M36" s="2" t="s">
        <v>32</v>
      </c>
      <c r="N36" t="b">
        <f>Table2[[#This Row],[Column7]]=Table2[[#This Row],[TIME]]</f>
        <v>1</v>
      </c>
    </row>
    <row r="37" spans="1:14">
      <c r="A37" s="22" t="s">
        <v>33</v>
      </c>
      <c r="B37" s="14">
        <v>1.8</v>
      </c>
      <c r="C37" s="15" t="s">
        <v>61</v>
      </c>
      <c r="D37" s="14">
        <v>2.1</v>
      </c>
      <c r="E37" s="15" t="s">
        <v>61</v>
      </c>
      <c r="F37" s="14">
        <v>1.8</v>
      </c>
      <c r="G37" s="15" t="s">
        <v>61</v>
      </c>
      <c r="H37" s="14">
        <v>1.8</v>
      </c>
      <c r="I37" s="15" t="s">
        <v>61</v>
      </c>
      <c r="J37" s="14">
        <v>1.7</v>
      </c>
      <c r="K37" s="15" t="s">
        <v>60</v>
      </c>
      <c r="L37" s="18">
        <f t="shared" si="0"/>
        <v>1.8399999999999999</v>
      </c>
      <c r="M37" s="2" t="s">
        <v>33</v>
      </c>
      <c r="N37" t="b">
        <f>Table2[[#This Row],[Column7]]=Table2[[#This Row],[TIME]]</f>
        <v>1</v>
      </c>
    </row>
    <row r="38" spans="1:14">
      <c r="A38" s="22" t="s">
        <v>34</v>
      </c>
      <c r="B38" s="12">
        <v>23.3</v>
      </c>
      <c r="C38" s="13" t="s">
        <v>61</v>
      </c>
      <c r="D38" s="12">
        <v>26.1</v>
      </c>
      <c r="E38" s="13" t="s">
        <v>61</v>
      </c>
      <c r="F38" s="12">
        <v>28.3</v>
      </c>
      <c r="G38" s="13" t="s">
        <v>61</v>
      </c>
      <c r="H38" s="12">
        <v>33.799999999999997</v>
      </c>
      <c r="I38" s="13" t="s">
        <v>61</v>
      </c>
      <c r="J38" s="12">
        <v>35.6</v>
      </c>
      <c r="K38" s="13" t="s">
        <v>61</v>
      </c>
      <c r="L38" s="18">
        <f t="shared" si="0"/>
        <v>29.419999999999998</v>
      </c>
      <c r="M38" s="2" t="s">
        <v>34</v>
      </c>
      <c r="N38" t="b">
        <f>Table2[[#This Row],[Column7]]=Table2[[#This Row],[TIME]]</f>
        <v>1</v>
      </c>
    </row>
    <row r="39" spans="1:14">
      <c r="A39" s="22" t="s">
        <v>35</v>
      </c>
      <c r="B39" s="12">
        <v>14.2</v>
      </c>
      <c r="C39" s="13"/>
      <c r="D39" s="12">
        <v>12.4</v>
      </c>
      <c r="E39" s="13"/>
      <c r="F39" s="12">
        <v>8.4</v>
      </c>
      <c r="G39" s="13"/>
      <c r="H39" s="12">
        <v>7.4</v>
      </c>
      <c r="I39" s="13"/>
      <c r="J39" s="12">
        <v>8.1999999999999993</v>
      </c>
      <c r="K39" s="13"/>
      <c r="L39" s="18">
        <f t="shared" si="0"/>
        <v>10.119999999999999</v>
      </c>
      <c r="M39" s="2" t="s">
        <v>35</v>
      </c>
      <c r="N39" t="b">
        <f>Table2[[#This Row],[Column7]]=Table2[[#This Row],[TIME]]</f>
        <v>1</v>
      </c>
    </row>
    <row r="40" spans="1:14">
      <c r="A40" s="10"/>
      <c r="B40" s="10"/>
      <c r="C40" s="10"/>
      <c r="D40" s="10"/>
      <c r="E40" s="10"/>
      <c r="F40" s="10"/>
      <c r="G40" s="10"/>
      <c r="H40" s="10"/>
      <c r="I40" s="10"/>
      <c r="J40" s="10"/>
      <c r="K40" s="10"/>
    </row>
    <row r="41" spans="1:14">
      <c r="A41" s="11" t="s">
        <v>65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</row>
    <row r="42" spans="1:14">
      <c r="A42" s="11" t="s">
        <v>62</v>
      </c>
      <c r="B42" s="9" t="s">
        <v>66</v>
      </c>
      <c r="C42" s="10"/>
      <c r="D42" s="10"/>
      <c r="E42" s="10"/>
      <c r="F42" s="10"/>
      <c r="G42" s="10"/>
      <c r="H42" s="10"/>
      <c r="I42" s="10"/>
      <c r="J42" s="10"/>
      <c r="K42" s="10"/>
    </row>
    <row r="43" spans="1:14">
      <c r="A43" s="11" t="s">
        <v>67</v>
      </c>
      <c r="B43" s="11"/>
      <c r="C43" s="10"/>
      <c r="D43" s="10"/>
      <c r="E43" s="10"/>
      <c r="F43" s="10"/>
      <c r="G43" s="10"/>
      <c r="H43" s="10"/>
      <c r="I43" s="10"/>
      <c r="J43" s="10"/>
      <c r="K43" s="10"/>
    </row>
    <row r="44" spans="1:14">
      <c r="A44" s="11" t="s">
        <v>63</v>
      </c>
      <c r="B44" s="9" t="s">
        <v>68</v>
      </c>
      <c r="C44" s="10"/>
      <c r="D44" s="10"/>
      <c r="E44" s="10"/>
      <c r="F44" s="10"/>
      <c r="G44" s="10"/>
      <c r="H44" s="10"/>
      <c r="I44" s="10"/>
      <c r="J44" s="10"/>
      <c r="K44" s="10"/>
    </row>
    <row r="45" spans="1:14">
      <c r="A45" s="11" t="s">
        <v>61</v>
      </c>
      <c r="B45" s="9" t="s">
        <v>69</v>
      </c>
      <c r="C45" s="9"/>
      <c r="D45" s="9"/>
      <c r="E45" s="9"/>
      <c r="F45" s="9"/>
      <c r="G45" s="10"/>
      <c r="H45" s="10"/>
      <c r="I45" s="10"/>
      <c r="J45" s="10"/>
      <c r="K45" s="10"/>
    </row>
    <row r="46" spans="1:14">
      <c r="A46" s="11" t="s">
        <v>60</v>
      </c>
      <c r="B46" s="9" t="s">
        <v>70</v>
      </c>
      <c r="C46" s="10"/>
      <c r="D46" s="10"/>
      <c r="E46" s="10"/>
      <c r="F46" s="10"/>
      <c r="G46" s="10"/>
      <c r="H46" s="10"/>
      <c r="I46" s="10"/>
      <c r="J46" s="10"/>
      <c r="K46" s="10"/>
    </row>
  </sheetData>
  <phoneticPr fontId="5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D3E097-F15D-D64B-AF82-8257ABDE16AA}">
  <dimension ref="A1:AS190"/>
  <sheetViews>
    <sheetView topLeftCell="A160" workbookViewId="0">
      <selection activeCell="F190" sqref="F190"/>
    </sheetView>
  </sheetViews>
  <sheetFormatPr baseColWidth="10" defaultRowHeight="16"/>
  <cols>
    <col min="1" max="1" width="19.83203125" customWidth="1"/>
    <col min="3" max="3" width="19" customWidth="1"/>
    <col min="4" max="4" width="11.1640625" bestFit="1" customWidth="1"/>
    <col min="35" max="35" width="12.6640625" bestFit="1" customWidth="1"/>
    <col min="43" max="43" width="12.6640625" style="2" bestFit="1" customWidth="1"/>
    <col min="45" max="45" width="12.6640625" bestFit="1" customWidth="1"/>
  </cols>
  <sheetData>
    <row r="1" spans="1:43">
      <c r="A1" s="1" t="s">
        <v>5</v>
      </c>
      <c r="B1" s="1" t="s">
        <v>6</v>
      </c>
      <c r="C1" t="s">
        <v>43</v>
      </c>
      <c r="D1">
        <v>2021</v>
      </c>
      <c r="E1">
        <v>2022</v>
      </c>
      <c r="F1">
        <v>2023</v>
      </c>
      <c r="G1">
        <v>2024</v>
      </c>
      <c r="H1">
        <v>2025</v>
      </c>
      <c r="I1">
        <v>2026</v>
      </c>
      <c r="J1">
        <v>2027</v>
      </c>
      <c r="K1">
        <v>2028</v>
      </c>
      <c r="L1">
        <v>2029</v>
      </c>
      <c r="M1">
        <v>2030</v>
      </c>
      <c r="N1">
        <v>2031</v>
      </c>
      <c r="O1">
        <v>2032</v>
      </c>
      <c r="P1">
        <v>2033</v>
      </c>
      <c r="Q1">
        <v>2034</v>
      </c>
      <c r="R1">
        <v>2035</v>
      </c>
      <c r="S1">
        <v>2036</v>
      </c>
      <c r="T1">
        <v>2037</v>
      </c>
      <c r="U1">
        <v>2038</v>
      </c>
      <c r="V1">
        <v>2039</v>
      </c>
      <c r="W1">
        <v>2040</v>
      </c>
      <c r="X1">
        <v>2041</v>
      </c>
      <c r="Y1">
        <v>2042</v>
      </c>
      <c r="Z1">
        <v>2043</v>
      </c>
      <c r="AA1">
        <v>2044</v>
      </c>
      <c r="AB1">
        <v>2045</v>
      </c>
      <c r="AC1">
        <v>2046</v>
      </c>
      <c r="AD1">
        <v>2047</v>
      </c>
      <c r="AE1">
        <v>2048</v>
      </c>
      <c r="AF1">
        <v>2049</v>
      </c>
      <c r="AG1">
        <v>2050</v>
      </c>
      <c r="AH1">
        <v>2051</v>
      </c>
      <c r="AI1">
        <v>2052</v>
      </c>
      <c r="AJ1">
        <v>2053</v>
      </c>
      <c r="AK1">
        <v>2054</v>
      </c>
      <c r="AL1">
        <v>2055</v>
      </c>
      <c r="AM1">
        <v>2056</v>
      </c>
      <c r="AN1">
        <v>2057</v>
      </c>
      <c r="AO1">
        <v>2058</v>
      </c>
      <c r="AP1">
        <v>2059</v>
      </c>
      <c r="AQ1" s="2">
        <v>2060</v>
      </c>
    </row>
    <row r="2" spans="1:43">
      <c r="A2" s="3" t="s">
        <v>8</v>
      </c>
      <c r="B2" s="2" t="s">
        <v>9</v>
      </c>
      <c r="C2" s="4">
        <v>127639282</v>
      </c>
      <c r="D2">
        <f>0.997*C2</f>
        <v>127256364.154</v>
      </c>
      <c r="E2">
        <f t="shared" ref="E2:AQ8" si="0">0.997*D2</f>
        <v>126874595.061538</v>
      </c>
      <c r="F2">
        <f t="shared" si="0"/>
        <v>126493971.27635339</v>
      </c>
      <c r="G2">
        <f t="shared" si="0"/>
        <v>126114489.36252433</v>
      </c>
      <c r="H2">
        <f t="shared" si="0"/>
        <v>125736145.89443676</v>
      </c>
      <c r="I2">
        <f t="shared" si="0"/>
        <v>125358937.45675345</v>
      </c>
      <c r="J2">
        <f t="shared" si="0"/>
        <v>124982860.64438319</v>
      </c>
      <c r="K2">
        <f t="shared" si="0"/>
        <v>124607912.06245004</v>
      </c>
      <c r="L2">
        <f t="shared" si="0"/>
        <v>124234088.32626268</v>
      </c>
      <c r="M2">
        <f t="shared" si="0"/>
        <v>123861386.0612839</v>
      </c>
      <c r="N2">
        <f t="shared" si="0"/>
        <v>123489801.90310004</v>
      </c>
      <c r="O2">
        <f t="shared" si="0"/>
        <v>123119332.49739075</v>
      </c>
      <c r="P2">
        <f t="shared" si="0"/>
        <v>122749974.49989857</v>
      </c>
      <c r="Q2">
        <f t="shared" si="0"/>
        <v>122381724.57639886</v>
      </c>
      <c r="R2">
        <f t="shared" si="0"/>
        <v>122014579.40266967</v>
      </c>
      <c r="S2">
        <f t="shared" si="0"/>
        <v>121648535.66446166</v>
      </c>
      <c r="T2">
        <f t="shared" si="0"/>
        <v>121283590.05746827</v>
      </c>
      <c r="U2">
        <f t="shared" si="0"/>
        <v>120919739.28729586</v>
      </c>
      <c r="V2">
        <f t="shared" si="0"/>
        <v>120556980.06943397</v>
      </c>
      <c r="W2">
        <f t="shared" si="0"/>
        <v>120195309.12922567</v>
      </c>
      <c r="X2">
        <f t="shared" si="0"/>
        <v>119834723.20183799</v>
      </c>
      <c r="Y2">
        <f t="shared" si="0"/>
        <v>119475219.03223248</v>
      </c>
      <c r="Z2">
        <f t="shared" si="0"/>
        <v>119116793.37513578</v>
      </c>
      <c r="AA2">
        <f t="shared" si="0"/>
        <v>118759442.99501038</v>
      </c>
      <c r="AB2">
        <f t="shared" si="0"/>
        <v>118403164.66602534</v>
      </c>
      <c r="AC2">
        <f t="shared" si="0"/>
        <v>118047955.17202726</v>
      </c>
      <c r="AD2">
        <f t="shared" si="0"/>
        <v>117693811.30651118</v>
      </c>
      <c r="AE2">
        <f t="shared" si="0"/>
        <v>117340729.87259164</v>
      </c>
      <c r="AF2">
        <f t="shared" si="0"/>
        <v>116988707.68297388</v>
      </c>
      <c r="AG2">
        <f t="shared" si="0"/>
        <v>116637741.55992496</v>
      </c>
      <c r="AH2">
        <f t="shared" si="0"/>
        <v>116287828.33524519</v>
      </c>
      <c r="AI2">
        <f t="shared" si="0"/>
        <v>115938964.85023946</v>
      </c>
      <c r="AJ2">
        <f t="shared" si="0"/>
        <v>115591147.95568873</v>
      </c>
      <c r="AK2">
        <f t="shared" si="0"/>
        <v>115244374.51182166</v>
      </c>
      <c r="AL2">
        <f t="shared" si="0"/>
        <v>114898641.38828619</v>
      </c>
      <c r="AM2">
        <f t="shared" si="0"/>
        <v>114553945.46412133</v>
      </c>
      <c r="AN2">
        <f t="shared" si="0"/>
        <v>114210283.62772897</v>
      </c>
      <c r="AO2">
        <f t="shared" si="0"/>
        <v>113867652.77684578</v>
      </c>
      <c r="AP2">
        <f t="shared" si="0"/>
        <v>113526049.81851524</v>
      </c>
      <c r="AQ2">
        <f t="shared" si="0"/>
        <v>113185471.66905969</v>
      </c>
    </row>
    <row r="3" spans="1:43">
      <c r="A3" s="3" t="s">
        <v>8</v>
      </c>
      <c r="B3" s="2" t="s">
        <v>10</v>
      </c>
      <c r="C3" s="4">
        <v>378961390</v>
      </c>
      <c r="D3">
        <f t="shared" ref="D3:S28" si="1">0.997*C3</f>
        <v>377824505.82999998</v>
      </c>
      <c r="E3">
        <f t="shared" si="1"/>
        <v>376691032.31250995</v>
      </c>
      <c r="F3">
        <f t="shared" si="1"/>
        <v>375560959.21557242</v>
      </c>
      <c r="G3">
        <f t="shared" si="1"/>
        <v>374434276.33792567</v>
      </c>
      <c r="H3">
        <f t="shared" si="1"/>
        <v>373310973.50891191</v>
      </c>
      <c r="I3">
        <f t="shared" si="1"/>
        <v>372191040.58838516</v>
      </c>
      <c r="J3">
        <f t="shared" si="1"/>
        <v>371074467.46662003</v>
      </c>
      <c r="K3">
        <f t="shared" si="1"/>
        <v>369961244.06422019</v>
      </c>
      <c r="L3">
        <f t="shared" si="1"/>
        <v>368851360.33202755</v>
      </c>
      <c r="M3">
        <f t="shared" si="1"/>
        <v>367744806.25103146</v>
      </c>
      <c r="N3">
        <f t="shared" si="1"/>
        <v>366641571.83227837</v>
      </c>
      <c r="O3">
        <f t="shared" si="1"/>
        <v>365541647.11678153</v>
      </c>
      <c r="P3">
        <f t="shared" si="1"/>
        <v>364445022.17543119</v>
      </c>
      <c r="Q3">
        <f t="shared" si="1"/>
        <v>363351687.1089049</v>
      </c>
      <c r="R3">
        <f t="shared" si="1"/>
        <v>362261632.04757816</v>
      </c>
      <c r="S3">
        <f t="shared" si="1"/>
        <v>361174847.15143543</v>
      </c>
      <c r="T3">
        <f t="shared" si="0"/>
        <v>360091322.60998112</v>
      </c>
      <c r="U3">
        <f t="shared" si="0"/>
        <v>359011048.64215118</v>
      </c>
      <c r="V3">
        <f t="shared" si="0"/>
        <v>357934015.4962247</v>
      </c>
      <c r="W3">
        <f t="shared" si="0"/>
        <v>356860213.449736</v>
      </c>
      <c r="X3">
        <f t="shared" si="0"/>
        <v>355789632.80938679</v>
      </c>
      <c r="Y3">
        <f t="shared" si="0"/>
        <v>354722263.91095865</v>
      </c>
      <c r="Z3">
        <f t="shared" si="0"/>
        <v>353658097.1192258</v>
      </c>
      <c r="AA3">
        <f t="shared" si="0"/>
        <v>352597122.8278681</v>
      </c>
      <c r="AB3">
        <f t="shared" si="0"/>
        <v>351539331.4593845</v>
      </c>
      <c r="AC3">
        <f t="shared" si="0"/>
        <v>350484713.46500635</v>
      </c>
      <c r="AD3">
        <f t="shared" si="0"/>
        <v>349433259.32461131</v>
      </c>
      <c r="AE3">
        <f t="shared" si="0"/>
        <v>348384959.54663748</v>
      </c>
      <c r="AF3">
        <f t="shared" si="0"/>
        <v>347339804.66799754</v>
      </c>
      <c r="AG3">
        <f t="shared" si="0"/>
        <v>346297785.25399357</v>
      </c>
      <c r="AH3">
        <f t="shared" si="0"/>
        <v>345258891.89823157</v>
      </c>
      <c r="AI3">
        <f t="shared" si="0"/>
        <v>344223115.22253686</v>
      </c>
      <c r="AJ3">
        <f t="shared" si="0"/>
        <v>343190445.87686926</v>
      </c>
      <c r="AK3">
        <f t="shared" si="0"/>
        <v>342160874.53923863</v>
      </c>
      <c r="AL3">
        <f t="shared" si="0"/>
        <v>341134391.91562092</v>
      </c>
      <c r="AM3">
        <f t="shared" si="0"/>
        <v>340110988.73987406</v>
      </c>
      <c r="AN3">
        <f t="shared" si="0"/>
        <v>339090655.77365446</v>
      </c>
      <c r="AO3">
        <f t="shared" si="0"/>
        <v>338073383.80633348</v>
      </c>
      <c r="AP3">
        <f t="shared" si="0"/>
        <v>337059163.6549145</v>
      </c>
      <c r="AQ3">
        <f t="shared" si="0"/>
        <v>336047986.16394973</v>
      </c>
    </row>
    <row r="4" spans="1:43">
      <c r="A4" s="3" t="s">
        <v>8</v>
      </c>
      <c r="B4" s="2" t="s">
        <v>11</v>
      </c>
      <c r="C4" s="4">
        <v>85268963</v>
      </c>
      <c r="D4">
        <f t="shared" si="1"/>
        <v>85013156.111000001</v>
      </c>
      <c r="E4">
        <f t="shared" si="0"/>
        <v>84758116.642666996</v>
      </c>
      <c r="F4">
        <f t="shared" si="0"/>
        <v>84503842.292738989</v>
      </c>
      <c r="G4">
        <f t="shared" si="0"/>
        <v>84250330.765860766</v>
      </c>
      <c r="H4">
        <f t="shared" si="0"/>
        <v>83997579.773563176</v>
      </c>
      <c r="I4">
        <f t="shared" si="0"/>
        <v>83745587.034242481</v>
      </c>
      <c r="J4">
        <f t="shared" si="0"/>
        <v>83494350.27313976</v>
      </c>
      <c r="K4">
        <f t="shared" si="0"/>
        <v>83243867.222320333</v>
      </c>
      <c r="L4">
        <f t="shared" si="0"/>
        <v>82994135.620653376</v>
      </c>
      <c r="M4">
        <f t="shared" si="0"/>
        <v>82745153.213791415</v>
      </c>
      <c r="N4">
        <f t="shared" si="0"/>
        <v>82496917.754150048</v>
      </c>
      <c r="O4">
        <f t="shared" si="0"/>
        <v>82249427.000887603</v>
      </c>
      <c r="P4">
        <f t="shared" si="0"/>
        <v>82002678.719884947</v>
      </c>
      <c r="Q4">
        <f t="shared" si="0"/>
        <v>81756670.683725297</v>
      </c>
      <c r="R4">
        <f t="shared" si="0"/>
        <v>81511400.671674117</v>
      </c>
      <c r="S4">
        <f t="shared" si="0"/>
        <v>81266866.46965909</v>
      </c>
      <c r="T4">
        <f t="shared" si="0"/>
        <v>81023065.870250106</v>
      </c>
      <c r="U4">
        <f t="shared" si="0"/>
        <v>80779996.672639355</v>
      </c>
      <c r="V4">
        <f t="shared" si="0"/>
        <v>80537656.682621434</v>
      </c>
      <c r="W4">
        <f t="shared" si="0"/>
        <v>80296043.712573573</v>
      </c>
      <c r="X4">
        <f t="shared" si="0"/>
        <v>80055155.581435859</v>
      </c>
      <c r="Y4">
        <f t="shared" si="0"/>
        <v>79814990.114691556</v>
      </c>
      <c r="Z4">
        <f t="shared" si="0"/>
        <v>79575545.144347474</v>
      </c>
      <c r="AA4">
        <f t="shared" si="0"/>
        <v>79336818.508914426</v>
      </c>
      <c r="AB4">
        <f t="shared" si="0"/>
        <v>79098808.053387687</v>
      </c>
      <c r="AC4">
        <f t="shared" si="0"/>
        <v>78861511.629227519</v>
      </c>
      <c r="AD4">
        <f t="shared" si="0"/>
        <v>78624927.094339833</v>
      </c>
      <c r="AE4">
        <f t="shared" si="0"/>
        <v>78389052.313056812</v>
      </c>
      <c r="AF4">
        <f t="shared" si="0"/>
        <v>78153885.156117648</v>
      </c>
      <c r="AG4">
        <f t="shared" si="0"/>
        <v>77919423.500649288</v>
      </c>
      <c r="AH4">
        <f t="shared" si="0"/>
        <v>77685665.230147347</v>
      </c>
      <c r="AI4">
        <f t="shared" si="0"/>
        <v>77452608.234456912</v>
      </c>
      <c r="AJ4">
        <f t="shared" si="0"/>
        <v>77220250.409753546</v>
      </c>
      <c r="AK4">
        <f t="shared" si="0"/>
        <v>76988589.65852429</v>
      </c>
      <c r="AL4">
        <f t="shared" si="0"/>
        <v>76757623.889548719</v>
      </c>
      <c r="AM4">
        <f t="shared" si="0"/>
        <v>76527351.017880067</v>
      </c>
      <c r="AN4">
        <f t="shared" si="0"/>
        <v>76297768.96482642</v>
      </c>
      <c r="AO4">
        <f t="shared" si="0"/>
        <v>76068875.657931939</v>
      </c>
      <c r="AP4">
        <f t="shared" si="0"/>
        <v>75840669.030958146</v>
      </c>
      <c r="AQ4">
        <f t="shared" si="0"/>
        <v>75613147.023865268</v>
      </c>
    </row>
    <row r="5" spans="1:43">
      <c r="A5" s="3" t="s">
        <v>8</v>
      </c>
      <c r="B5" s="2" t="s">
        <v>12</v>
      </c>
      <c r="C5" s="4">
        <v>29156255</v>
      </c>
      <c r="D5">
        <f t="shared" si="1"/>
        <v>29068786.234999999</v>
      </c>
      <c r="E5">
        <f t="shared" si="0"/>
        <v>28981579.876295</v>
      </c>
      <c r="F5">
        <f t="shared" si="0"/>
        <v>28894635.136666115</v>
      </c>
      <c r="G5">
        <f t="shared" si="0"/>
        <v>28807951.231256116</v>
      </c>
      <c r="H5">
        <f t="shared" si="0"/>
        <v>28721527.377562348</v>
      </c>
      <c r="I5">
        <f t="shared" si="0"/>
        <v>28635362.795429662</v>
      </c>
      <c r="J5">
        <f t="shared" si="0"/>
        <v>28549456.707043372</v>
      </c>
      <c r="K5">
        <f t="shared" si="0"/>
        <v>28463808.336922243</v>
      </c>
      <c r="L5">
        <f t="shared" si="0"/>
        <v>28378416.911911476</v>
      </c>
      <c r="M5">
        <f t="shared" si="0"/>
        <v>28293281.661175743</v>
      </c>
      <c r="N5">
        <f t="shared" si="0"/>
        <v>28208401.816192217</v>
      </c>
      <c r="O5">
        <f t="shared" si="0"/>
        <v>28123776.610743642</v>
      </c>
      <c r="P5">
        <f t="shared" si="0"/>
        <v>28039405.280911412</v>
      </c>
      <c r="Q5">
        <f t="shared" si="0"/>
        <v>27955287.065068677</v>
      </c>
      <c r="R5">
        <f t="shared" si="0"/>
        <v>27871421.20387347</v>
      </c>
      <c r="S5">
        <f t="shared" si="0"/>
        <v>27787806.940261848</v>
      </c>
      <c r="T5">
        <f t="shared" si="0"/>
        <v>27704443.519441064</v>
      </c>
      <c r="U5">
        <f t="shared" si="0"/>
        <v>27621330.188882742</v>
      </c>
      <c r="V5">
        <f t="shared" si="0"/>
        <v>27538466.198316094</v>
      </c>
      <c r="W5">
        <f t="shared" si="0"/>
        <v>27455850.799721144</v>
      </c>
      <c r="X5">
        <f t="shared" si="0"/>
        <v>27373483.247321982</v>
      </c>
      <c r="Y5">
        <f t="shared" si="0"/>
        <v>27291362.797580015</v>
      </c>
      <c r="Z5">
        <f t="shared" si="0"/>
        <v>27209488.709187273</v>
      </c>
      <c r="AA5">
        <f t="shared" si="0"/>
        <v>27127860.24305971</v>
      </c>
      <c r="AB5">
        <f t="shared" si="0"/>
        <v>27046476.662330531</v>
      </c>
      <c r="AC5">
        <f t="shared" si="0"/>
        <v>26965337.23234354</v>
      </c>
      <c r="AD5">
        <f t="shared" si="0"/>
        <v>26884441.220646508</v>
      </c>
      <c r="AE5">
        <f t="shared" si="0"/>
        <v>26803787.89698457</v>
      </c>
      <c r="AF5">
        <f t="shared" si="0"/>
        <v>26723376.533293616</v>
      </c>
      <c r="AG5">
        <f t="shared" si="0"/>
        <v>26643206.403693736</v>
      </c>
      <c r="AH5">
        <f t="shared" si="0"/>
        <v>26563276.784482654</v>
      </c>
      <c r="AI5">
        <f t="shared" si="0"/>
        <v>26483586.954129208</v>
      </c>
      <c r="AJ5">
        <f t="shared" si="0"/>
        <v>26404136.19326682</v>
      </c>
      <c r="AK5">
        <f t="shared" si="0"/>
        <v>26324923.78468702</v>
      </c>
      <c r="AL5">
        <f t="shared" si="0"/>
        <v>26245949.013332959</v>
      </c>
      <c r="AM5">
        <f t="shared" si="0"/>
        <v>26167211.166292962</v>
      </c>
      <c r="AN5">
        <f t="shared" si="0"/>
        <v>26088709.532794084</v>
      </c>
      <c r="AO5">
        <f t="shared" si="0"/>
        <v>26010443.404195704</v>
      </c>
      <c r="AP5">
        <f t="shared" si="0"/>
        <v>25932412.073983118</v>
      </c>
      <c r="AQ5">
        <f t="shared" si="0"/>
        <v>25854614.837761167</v>
      </c>
    </row>
    <row r="6" spans="1:43">
      <c r="A6" s="3" t="s">
        <v>8</v>
      </c>
      <c r="B6" s="2" t="s">
        <v>13</v>
      </c>
      <c r="C6" s="4">
        <v>17004919</v>
      </c>
      <c r="D6">
        <f t="shared" si="1"/>
        <v>16953904.243000001</v>
      </c>
      <c r="E6">
        <f t="shared" si="0"/>
        <v>16903042.530271001</v>
      </c>
      <c r="F6">
        <f t="shared" si="0"/>
        <v>16852333.402680188</v>
      </c>
      <c r="G6">
        <f t="shared" si="0"/>
        <v>16801776.40247215</v>
      </c>
      <c r="H6">
        <f t="shared" si="0"/>
        <v>16751371.073264733</v>
      </c>
      <c r="I6">
        <f t="shared" si="0"/>
        <v>16701116.960044939</v>
      </c>
      <c r="J6">
        <f t="shared" si="0"/>
        <v>16651013.609164804</v>
      </c>
      <c r="K6">
        <f t="shared" si="0"/>
        <v>16601060.56833731</v>
      </c>
      <c r="L6">
        <f t="shared" si="0"/>
        <v>16551257.386632299</v>
      </c>
      <c r="M6">
        <f t="shared" si="0"/>
        <v>16501603.614472402</v>
      </c>
      <c r="N6">
        <f t="shared" si="0"/>
        <v>16452098.803628985</v>
      </c>
      <c r="O6">
        <f t="shared" si="0"/>
        <v>16402742.507218098</v>
      </c>
      <c r="P6">
        <f t="shared" si="0"/>
        <v>16353534.279696444</v>
      </c>
      <c r="Q6">
        <f t="shared" si="0"/>
        <v>16304473.676857354</v>
      </c>
      <c r="R6">
        <f t="shared" si="0"/>
        <v>16255560.255826782</v>
      </c>
      <c r="S6">
        <f t="shared" si="0"/>
        <v>16206793.575059302</v>
      </c>
      <c r="T6">
        <f t="shared" si="0"/>
        <v>16158173.194334123</v>
      </c>
      <c r="U6">
        <f t="shared" si="0"/>
        <v>16109698.674751122</v>
      </c>
      <c r="V6">
        <f t="shared" si="0"/>
        <v>16061369.578726867</v>
      </c>
      <c r="W6">
        <f t="shared" si="0"/>
        <v>16013185.469990687</v>
      </c>
      <c r="X6">
        <f t="shared" si="0"/>
        <v>15965145.913580716</v>
      </c>
      <c r="Y6">
        <f t="shared" si="0"/>
        <v>15917250.475839974</v>
      </c>
      <c r="Z6">
        <f t="shared" si="0"/>
        <v>15869498.724412454</v>
      </c>
      <c r="AA6">
        <f t="shared" si="0"/>
        <v>15821890.228239218</v>
      </c>
      <c r="AB6">
        <f t="shared" si="0"/>
        <v>15774424.5575545</v>
      </c>
      <c r="AC6">
        <f t="shared" si="0"/>
        <v>15727101.283881838</v>
      </c>
      <c r="AD6">
        <f t="shared" si="0"/>
        <v>15679919.980030192</v>
      </c>
      <c r="AE6">
        <f t="shared" si="0"/>
        <v>15632880.220090101</v>
      </c>
      <c r="AF6">
        <f t="shared" si="0"/>
        <v>15585981.579429829</v>
      </c>
      <c r="AG6">
        <f t="shared" si="0"/>
        <v>15539223.63469154</v>
      </c>
      <c r="AH6">
        <f t="shared" si="0"/>
        <v>15492605.963787466</v>
      </c>
      <c r="AI6">
        <f t="shared" si="0"/>
        <v>15446128.145896103</v>
      </c>
      <c r="AJ6">
        <f t="shared" si="0"/>
        <v>15399789.761458416</v>
      </c>
      <c r="AK6">
        <f t="shared" si="0"/>
        <v>15353590.392174041</v>
      </c>
      <c r="AL6">
        <f t="shared" si="0"/>
        <v>15307529.620997518</v>
      </c>
      <c r="AM6">
        <f t="shared" si="0"/>
        <v>15261607.032134525</v>
      </c>
      <c r="AN6">
        <f t="shared" si="0"/>
        <v>15215822.211038122</v>
      </c>
      <c r="AO6">
        <f t="shared" si="0"/>
        <v>15170174.744405007</v>
      </c>
      <c r="AP6">
        <f t="shared" si="0"/>
        <v>15124664.220171792</v>
      </c>
      <c r="AQ6">
        <f t="shared" si="0"/>
        <v>15079290.227511277</v>
      </c>
    </row>
    <row r="7" spans="1:43">
      <c r="A7" s="3" t="s">
        <v>8</v>
      </c>
      <c r="B7" s="2" t="s">
        <v>14</v>
      </c>
      <c r="C7" s="4">
        <v>150771214</v>
      </c>
      <c r="D7">
        <f t="shared" si="1"/>
        <v>150318900.35800001</v>
      </c>
      <c r="E7">
        <f t="shared" si="0"/>
        <v>149867943.65692601</v>
      </c>
      <c r="F7">
        <f t="shared" si="0"/>
        <v>149418339.82595524</v>
      </c>
      <c r="G7">
        <f t="shared" si="0"/>
        <v>148970084.80647737</v>
      </c>
      <c r="H7">
        <f t="shared" si="0"/>
        <v>148523174.55205792</v>
      </c>
      <c r="I7">
        <f t="shared" si="0"/>
        <v>148077605.02840176</v>
      </c>
      <c r="J7">
        <f t="shared" si="0"/>
        <v>147633372.21331656</v>
      </c>
      <c r="K7">
        <f t="shared" si="0"/>
        <v>147190472.09667662</v>
      </c>
      <c r="L7">
        <f t="shared" si="0"/>
        <v>146748900.68038657</v>
      </c>
      <c r="M7">
        <f t="shared" si="0"/>
        <v>146308653.97834542</v>
      </c>
      <c r="N7">
        <f t="shared" si="0"/>
        <v>145869728.01641038</v>
      </c>
      <c r="O7">
        <f t="shared" si="0"/>
        <v>145432118.83236116</v>
      </c>
      <c r="P7">
        <f t="shared" si="0"/>
        <v>144995822.47586408</v>
      </c>
      <c r="Q7">
        <f t="shared" si="0"/>
        <v>144560835.0084365</v>
      </c>
      <c r="R7">
        <f t="shared" si="0"/>
        <v>144127152.5034112</v>
      </c>
      <c r="S7">
        <f t="shared" si="0"/>
        <v>143694771.04590097</v>
      </c>
      <c r="T7">
        <f t="shared" si="0"/>
        <v>143263686.73276326</v>
      </c>
      <c r="U7">
        <f t="shared" si="0"/>
        <v>142833895.67256498</v>
      </c>
      <c r="V7">
        <f t="shared" si="0"/>
        <v>142405393.98554727</v>
      </c>
      <c r="W7">
        <f t="shared" si="0"/>
        <v>141978177.80359063</v>
      </c>
      <c r="X7">
        <f t="shared" si="0"/>
        <v>141552243.27017987</v>
      </c>
      <c r="Y7">
        <f t="shared" si="0"/>
        <v>141127586.54036933</v>
      </c>
      <c r="Z7">
        <f t="shared" si="0"/>
        <v>140704203.78074822</v>
      </c>
      <c r="AA7">
        <f t="shared" si="0"/>
        <v>140282091.16940597</v>
      </c>
      <c r="AB7">
        <f t="shared" si="0"/>
        <v>139861244.89589775</v>
      </c>
      <c r="AC7">
        <f t="shared" si="0"/>
        <v>139441661.16121006</v>
      </c>
      <c r="AD7">
        <f t="shared" si="0"/>
        <v>139023336.17772642</v>
      </c>
      <c r="AE7">
        <f t="shared" si="0"/>
        <v>138606266.16919324</v>
      </c>
      <c r="AF7">
        <f t="shared" si="0"/>
        <v>138190447.37068567</v>
      </c>
      <c r="AG7">
        <f t="shared" si="0"/>
        <v>137775876.0285736</v>
      </c>
      <c r="AH7">
        <f t="shared" si="0"/>
        <v>137362548.40048787</v>
      </c>
      <c r="AI7">
        <f t="shared" si="0"/>
        <v>136950460.7552864</v>
      </c>
      <c r="AJ7">
        <f t="shared" si="0"/>
        <v>136539609.37302053</v>
      </c>
      <c r="AK7">
        <f t="shared" si="0"/>
        <v>136129990.54490146</v>
      </c>
      <c r="AL7">
        <f t="shared" si="0"/>
        <v>135721600.57326674</v>
      </c>
      <c r="AM7">
        <f t="shared" si="0"/>
        <v>135314435.77154693</v>
      </c>
      <c r="AN7">
        <f t="shared" si="0"/>
        <v>134908492.4642323</v>
      </c>
      <c r="AO7">
        <f t="shared" si="0"/>
        <v>134503766.98683959</v>
      </c>
      <c r="AP7">
        <f t="shared" si="0"/>
        <v>134100255.68587907</v>
      </c>
      <c r="AQ7">
        <f t="shared" si="0"/>
        <v>133697954.91882142</v>
      </c>
    </row>
    <row r="8" spans="1:43">
      <c r="A8" s="3" t="s">
        <v>8</v>
      </c>
      <c r="B8" s="2" t="s">
        <v>15</v>
      </c>
      <c r="C8" s="4">
        <v>86408212</v>
      </c>
      <c r="D8">
        <f t="shared" si="1"/>
        <v>86148987.363999993</v>
      </c>
      <c r="E8">
        <f t="shared" si="0"/>
        <v>85890540.401907995</v>
      </c>
      <c r="F8">
        <f t="shared" si="0"/>
        <v>85632868.780702278</v>
      </c>
      <c r="G8">
        <f t="shared" si="0"/>
        <v>85375970.174360171</v>
      </c>
      <c r="H8">
        <f t="shared" si="0"/>
        <v>85119842.263837084</v>
      </c>
      <c r="I8">
        <f t="shared" si="0"/>
        <v>84864482.737045571</v>
      </c>
      <c r="J8">
        <f t="shared" si="0"/>
        <v>84609889.288834438</v>
      </c>
      <c r="K8">
        <f t="shared" si="0"/>
        <v>84356059.620967939</v>
      </c>
      <c r="L8">
        <f t="shared" si="0"/>
        <v>84102991.44210504</v>
      </c>
      <c r="M8">
        <f t="shared" si="0"/>
        <v>83850682.467778727</v>
      </c>
      <c r="N8">
        <f t="shared" si="0"/>
        <v>83599130.420375392</v>
      </c>
      <c r="O8">
        <f t="shared" si="0"/>
        <v>83348333.029114261</v>
      </c>
      <c r="P8">
        <f t="shared" si="0"/>
        <v>83098288.030026913</v>
      </c>
      <c r="Q8">
        <f t="shared" si="0"/>
        <v>82848993.165936828</v>
      </c>
      <c r="R8">
        <f t="shared" si="0"/>
        <v>82600446.186439022</v>
      </c>
      <c r="S8">
        <f t="shared" si="0"/>
        <v>82352644.847879708</v>
      </c>
      <c r="T8">
        <f t="shared" si="0"/>
        <v>82105586.913336068</v>
      </c>
      <c r="U8">
        <f t="shared" si="0"/>
        <v>81859270.152596056</v>
      </c>
      <c r="V8">
        <f t="shared" si="0"/>
        <v>81613692.342138276</v>
      </c>
      <c r="W8">
        <f t="shared" si="0"/>
        <v>81368851.265111864</v>
      </c>
      <c r="X8">
        <f t="shared" si="0"/>
        <v>81124744.711316526</v>
      </c>
      <c r="Y8">
        <f t="shared" si="0"/>
        <v>80881370.477182582</v>
      </c>
      <c r="Z8">
        <f t="shared" si="0"/>
        <v>80638726.365751028</v>
      </c>
      <c r="AA8">
        <f t="shared" si="0"/>
        <v>80396810.186653778</v>
      </c>
      <c r="AB8">
        <f t="shared" si="0"/>
        <v>80155619.756093815</v>
      </c>
      <c r="AC8">
        <f t="shared" si="0"/>
        <v>79915152.896825537</v>
      </c>
      <c r="AD8">
        <f t="shared" si="0"/>
        <v>79675407.438135058</v>
      </c>
      <c r="AE8">
        <f t="shared" si="0"/>
        <v>79436381.215820655</v>
      </c>
      <c r="AF8">
        <f t="shared" si="0"/>
        <v>79198072.072173193</v>
      </c>
      <c r="AG8">
        <f t="shared" si="0"/>
        <v>78960477.855956674</v>
      </c>
      <c r="AH8">
        <f t="shared" si="0"/>
        <v>78723596.422388807</v>
      </c>
      <c r="AI8">
        <f t="shared" si="0"/>
        <v>78487425.633121639</v>
      </c>
      <c r="AJ8">
        <f t="shared" si="0"/>
        <v>78251963.356222272</v>
      </c>
      <c r="AK8">
        <f t="shared" si="0"/>
        <v>78017207.466153607</v>
      </c>
      <c r="AL8">
        <f t="shared" si="0"/>
        <v>77783155.843755141</v>
      </c>
      <c r="AM8">
        <f t="shared" si="0"/>
        <v>77549806.376223877</v>
      </c>
      <c r="AN8">
        <f t="shared" si="0"/>
        <v>77317156.957095206</v>
      </c>
      <c r="AO8">
        <f t="shared" ref="E8:AQ15" si="2">0.997*AN8</f>
        <v>77085205.486223921</v>
      </c>
      <c r="AP8">
        <f t="shared" si="2"/>
        <v>76853949.869765252</v>
      </c>
      <c r="AQ8">
        <f t="shared" si="2"/>
        <v>76623388.020155951</v>
      </c>
    </row>
    <row r="9" spans="1:43">
      <c r="A9" s="3" t="s">
        <v>8</v>
      </c>
      <c r="B9" s="2" t="s">
        <v>16</v>
      </c>
      <c r="C9" s="4">
        <v>11903569</v>
      </c>
      <c r="D9">
        <f t="shared" si="1"/>
        <v>11867858.293</v>
      </c>
      <c r="E9">
        <f t="shared" si="2"/>
        <v>11832254.718121</v>
      </c>
      <c r="F9">
        <f t="shared" si="2"/>
        <v>11796757.953966636</v>
      </c>
      <c r="G9">
        <f t="shared" si="2"/>
        <v>11761367.680104736</v>
      </c>
      <c r="H9">
        <f t="shared" si="2"/>
        <v>11726083.577064423</v>
      </c>
      <c r="I9">
        <f t="shared" si="2"/>
        <v>11690905.32633323</v>
      </c>
      <c r="J9">
        <f t="shared" si="2"/>
        <v>11655832.61035423</v>
      </c>
      <c r="K9">
        <f t="shared" si="2"/>
        <v>11620865.112523166</v>
      </c>
      <c r="L9">
        <f t="shared" si="2"/>
        <v>11586002.517185597</v>
      </c>
      <c r="M9">
        <f t="shared" si="2"/>
        <v>11551244.50963404</v>
      </c>
      <c r="N9">
        <f t="shared" si="2"/>
        <v>11516590.776105138</v>
      </c>
      <c r="O9">
        <f t="shared" si="2"/>
        <v>11482041.003776822</v>
      </c>
      <c r="P9">
        <f t="shared" si="2"/>
        <v>11447594.880765492</v>
      </c>
      <c r="Q9">
        <f t="shared" si="2"/>
        <v>11413252.096123196</v>
      </c>
      <c r="R9">
        <f t="shared" si="2"/>
        <v>11379012.339834826</v>
      </c>
      <c r="S9">
        <f t="shared" si="2"/>
        <v>11344875.302815322</v>
      </c>
      <c r="T9">
        <f t="shared" si="2"/>
        <v>11310840.676906876</v>
      </c>
      <c r="U9">
        <f t="shared" si="2"/>
        <v>11276908.154876156</v>
      </c>
      <c r="V9">
        <f t="shared" si="2"/>
        <v>11243077.430411527</v>
      </c>
      <c r="W9">
        <f t="shared" si="2"/>
        <v>11209348.198120292</v>
      </c>
      <c r="X9">
        <f t="shared" si="2"/>
        <v>11175720.153525932</v>
      </c>
      <c r="Y9">
        <f t="shared" si="2"/>
        <v>11142192.993065353</v>
      </c>
      <c r="Z9">
        <f t="shared" si="2"/>
        <v>11108766.414086157</v>
      </c>
      <c r="AA9">
        <f t="shared" si="2"/>
        <v>11075440.114843899</v>
      </c>
      <c r="AB9">
        <f t="shared" si="2"/>
        <v>11042213.794499367</v>
      </c>
      <c r="AC9">
        <f t="shared" si="2"/>
        <v>11009087.153115869</v>
      </c>
      <c r="AD9">
        <f t="shared" si="2"/>
        <v>10976059.891656522</v>
      </c>
      <c r="AE9">
        <f t="shared" si="2"/>
        <v>10943131.711981552</v>
      </c>
      <c r="AF9">
        <f t="shared" si="2"/>
        <v>10910302.316845607</v>
      </c>
      <c r="AG9">
        <f t="shared" si="2"/>
        <v>10877571.40989507</v>
      </c>
      <c r="AH9">
        <f t="shared" si="2"/>
        <v>10844938.695665386</v>
      </c>
      <c r="AI9">
        <f t="shared" si="2"/>
        <v>10812403.879578389</v>
      </c>
      <c r="AJ9">
        <f t="shared" si="2"/>
        <v>10779966.667939654</v>
      </c>
      <c r="AK9">
        <f t="shared" si="2"/>
        <v>10747626.767935835</v>
      </c>
      <c r="AL9">
        <f t="shared" si="2"/>
        <v>10715383.887632027</v>
      </c>
      <c r="AM9">
        <f t="shared" si="2"/>
        <v>10683237.735969132</v>
      </c>
      <c r="AN9">
        <f t="shared" si="2"/>
        <v>10651188.022761224</v>
      </c>
      <c r="AO9">
        <f t="shared" si="2"/>
        <v>10619234.45869294</v>
      </c>
      <c r="AP9">
        <f t="shared" si="2"/>
        <v>10587376.755316861</v>
      </c>
      <c r="AQ9">
        <f t="shared" si="2"/>
        <v>10555614.62505091</v>
      </c>
    </row>
    <row r="10" spans="1:43">
      <c r="A10" s="3" t="s">
        <v>8</v>
      </c>
      <c r="B10" s="2" t="s">
        <v>17</v>
      </c>
      <c r="C10" s="4">
        <v>72630161</v>
      </c>
      <c r="D10">
        <f t="shared" si="1"/>
        <v>72412270.517000005</v>
      </c>
      <c r="E10">
        <f t="shared" si="2"/>
        <v>72195033.705449</v>
      </c>
      <c r="F10">
        <f t="shared" si="2"/>
        <v>71978448.604332656</v>
      </c>
      <c r="G10">
        <f t="shared" si="2"/>
        <v>71762513.258519664</v>
      </c>
      <c r="H10">
        <f t="shared" si="2"/>
        <v>71547225.718744099</v>
      </c>
      <c r="I10">
        <f t="shared" si="2"/>
        <v>71332584.041587859</v>
      </c>
      <c r="J10">
        <f t="shared" si="2"/>
        <v>71118586.289463103</v>
      </c>
      <c r="K10">
        <f t="shared" si="2"/>
        <v>70905230.530594707</v>
      </c>
      <c r="L10">
        <f t="shared" si="2"/>
        <v>70692514.839002922</v>
      </c>
      <c r="M10">
        <f t="shared" si="2"/>
        <v>70480437.294485912</v>
      </c>
      <c r="N10">
        <f t="shared" si="2"/>
        <v>70268995.982602447</v>
      </c>
      <c r="O10">
        <f t="shared" si="2"/>
        <v>70058188.994654641</v>
      </c>
      <c r="P10">
        <f t="shared" si="2"/>
        <v>69848014.427670673</v>
      </c>
      <c r="Q10">
        <f t="shared" si="2"/>
        <v>69638470.384387657</v>
      </c>
      <c r="R10">
        <f t="shared" si="2"/>
        <v>69429554.97323449</v>
      </c>
      <c r="S10">
        <f t="shared" si="2"/>
        <v>69221266.308314785</v>
      </c>
      <c r="T10">
        <f t="shared" si="2"/>
        <v>69013602.509389848</v>
      </c>
      <c r="U10">
        <f t="shared" si="2"/>
        <v>68806561.70186168</v>
      </c>
      <c r="V10">
        <f t="shared" si="2"/>
        <v>68600142.016756088</v>
      </c>
      <c r="W10">
        <f t="shared" si="2"/>
        <v>68394341.590705812</v>
      </c>
      <c r="X10">
        <f t="shared" si="2"/>
        <v>68189158.565933689</v>
      </c>
      <c r="Y10">
        <f t="shared" si="2"/>
        <v>67984591.090235889</v>
      </c>
      <c r="Z10">
        <f t="shared" si="2"/>
        <v>67780637.316965178</v>
      </c>
      <c r="AA10">
        <f t="shared" si="2"/>
        <v>67577295.405014277</v>
      </c>
      <c r="AB10">
        <f t="shared" si="2"/>
        <v>67374563.51879923</v>
      </c>
      <c r="AC10">
        <f t="shared" si="2"/>
        <v>67172439.828242838</v>
      </c>
      <c r="AD10">
        <f t="shared" si="2"/>
        <v>66970922.508758113</v>
      </c>
      <c r="AE10">
        <f t="shared" si="2"/>
        <v>66770009.741231836</v>
      </c>
      <c r="AF10">
        <f t="shared" si="2"/>
        <v>66569699.712008141</v>
      </c>
      <c r="AG10">
        <f t="shared" si="2"/>
        <v>66369990.612872116</v>
      </c>
      <c r="AH10">
        <f t="shared" si="2"/>
        <v>66170880.6410335</v>
      </c>
      <c r="AI10">
        <f t="shared" si="2"/>
        <v>65972367.999110401</v>
      </c>
      <c r="AJ10">
        <f t="shared" si="2"/>
        <v>65774450.895113066</v>
      </c>
      <c r="AK10">
        <f t="shared" si="2"/>
        <v>65577127.542427726</v>
      </c>
      <c r="AL10">
        <f t="shared" si="2"/>
        <v>65380396.15980044</v>
      </c>
      <c r="AM10">
        <f t="shared" si="2"/>
        <v>65184254.971321039</v>
      </c>
      <c r="AN10">
        <f t="shared" si="2"/>
        <v>64988702.206407078</v>
      </c>
      <c r="AO10">
        <f t="shared" si="2"/>
        <v>64793736.099787854</v>
      </c>
      <c r="AP10">
        <f t="shared" si="2"/>
        <v>64599354.891488492</v>
      </c>
      <c r="AQ10">
        <f t="shared" si="2"/>
        <v>64405556.826814026</v>
      </c>
    </row>
    <row r="11" spans="1:43">
      <c r="A11" s="3" t="s">
        <v>8</v>
      </c>
      <c r="B11" s="2" t="s">
        <v>18</v>
      </c>
      <c r="C11" s="4">
        <v>997402420</v>
      </c>
      <c r="D11">
        <f t="shared" si="1"/>
        <v>994410212.74000001</v>
      </c>
      <c r="E11">
        <f t="shared" si="2"/>
        <v>991426982.10178006</v>
      </c>
      <c r="F11">
        <f t="shared" si="2"/>
        <v>988452701.15547466</v>
      </c>
      <c r="G11">
        <f t="shared" si="2"/>
        <v>985487343.05200827</v>
      </c>
      <c r="H11">
        <f t="shared" si="2"/>
        <v>982530881.0228523</v>
      </c>
      <c r="I11">
        <f t="shared" si="2"/>
        <v>979583288.37978375</v>
      </c>
      <c r="J11">
        <f t="shared" si="2"/>
        <v>976644538.51464438</v>
      </c>
      <c r="K11">
        <f t="shared" si="2"/>
        <v>973714604.89910042</v>
      </c>
      <c r="L11">
        <f t="shared" si="2"/>
        <v>970793461.08440316</v>
      </c>
      <c r="M11">
        <f t="shared" si="2"/>
        <v>967881080.70114994</v>
      </c>
      <c r="N11">
        <f t="shared" si="2"/>
        <v>964977437.45904648</v>
      </c>
      <c r="O11">
        <f t="shared" si="2"/>
        <v>962082505.14666939</v>
      </c>
      <c r="P11">
        <f t="shared" si="2"/>
        <v>959196257.6312294</v>
      </c>
      <c r="Q11">
        <f t="shared" si="2"/>
        <v>956318668.85833573</v>
      </c>
      <c r="R11">
        <f t="shared" si="2"/>
        <v>953449712.85176075</v>
      </c>
      <c r="S11">
        <f t="shared" si="2"/>
        <v>950589363.71320546</v>
      </c>
      <c r="T11">
        <f t="shared" si="2"/>
        <v>947737595.62206578</v>
      </c>
      <c r="U11">
        <f t="shared" si="2"/>
        <v>944894382.83519959</v>
      </c>
      <c r="V11">
        <f t="shared" si="2"/>
        <v>942059699.68669403</v>
      </c>
      <c r="W11">
        <f t="shared" si="2"/>
        <v>939233520.58763397</v>
      </c>
      <c r="X11">
        <f t="shared" si="2"/>
        <v>936415820.02587104</v>
      </c>
      <c r="Y11">
        <f t="shared" si="2"/>
        <v>933606572.5657934</v>
      </c>
      <c r="Z11">
        <f t="shared" si="2"/>
        <v>930805752.84809601</v>
      </c>
      <c r="AA11">
        <f t="shared" si="2"/>
        <v>928013335.58955169</v>
      </c>
      <c r="AB11">
        <f t="shared" si="2"/>
        <v>925229295.58278298</v>
      </c>
      <c r="AC11">
        <f t="shared" si="2"/>
        <v>922453607.69603467</v>
      </c>
      <c r="AD11">
        <f t="shared" si="2"/>
        <v>919686246.87294662</v>
      </c>
      <c r="AE11">
        <f t="shared" si="2"/>
        <v>916927188.1323278</v>
      </c>
      <c r="AF11">
        <f t="shared" si="2"/>
        <v>914176406.56793082</v>
      </c>
      <c r="AG11">
        <f t="shared" si="2"/>
        <v>911433877.34822702</v>
      </c>
      <c r="AH11">
        <f t="shared" si="2"/>
        <v>908699575.71618235</v>
      </c>
      <c r="AI11">
        <f t="shared" si="2"/>
        <v>905973476.98903382</v>
      </c>
      <c r="AJ11">
        <f t="shared" si="2"/>
        <v>903255556.55806673</v>
      </c>
      <c r="AK11">
        <f t="shared" si="2"/>
        <v>900545789.88839257</v>
      </c>
      <c r="AL11">
        <f t="shared" si="2"/>
        <v>897844152.51872742</v>
      </c>
      <c r="AM11">
        <f t="shared" si="2"/>
        <v>895150620.06117129</v>
      </c>
      <c r="AN11">
        <f t="shared" si="2"/>
        <v>892465168.20098782</v>
      </c>
      <c r="AO11">
        <f t="shared" si="2"/>
        <v>889787772.69638491</v>
      </c>
      <c r="AP11">
        <f t="shared" si="2"/>
        <v>887118409.37829578</v>
      </c>
      <c r="AQ11">
        <f t="shared" si="2"/>
        <v>884457054.15016091</v>
      </c>
    </row>
    <row r="12" spans="1:43">
      <c r="A12" s="3" t="s">
        <v>8</v>
      </c>
      <c r="B12" s="2" t="s">
        <v>19</v>
      </c>
      <c r="C12" s="4">
        <v>1162662495</v>
      </c>
      <c r="D12">
        <f t="shared" si="1"/>
        <v>1159174507.5150001</v>
      </c>
      <c r="E12">
        <f t="shared" si="2"/>
        <v>1155696983.992455</v>
      </c>
      <c r="F12">
        <f t="shared" si="2"/>
        <v>1152229893.0404778</v>
      </c>
      <c r="G12">
        <f t="shared" si="2"/>
        <v>1148773203.3613563</v>
      </c>
      <c r="H12">
        <f t="shared" si="2"/>
        <v>1145326883.7512722</v>
      </c>
      <c r="I12">
        <f t="shared" si="2"/>
        <v>1141890903.1000183</v>
      </c>
      <c r="J12">
        <f t="shared" si="2"/>
        <v>1138465230.3907182</v>
      </c>
      <c r="K12">
        <f t="shared" si="2"/>
        <v>1135049834.6995461</v>
      </c>
      <c r="L12">
        <f t="shared" si="2"/>
        <v>1131644685.1954474</v>
      </c>
      <c r="M12">
        <f t="shared" si="2"/>
        <v>1128249751.1398611</v>
      </c>
      <c r="N12">
        <f t="shared" si="2"/>
        <v>1124865001.8864415</v>
      </c>
      <c r="O12">
        <f t="shared" si="2"/>
        <v>1121490406.8807821</v>
      </c>
      <c r="P12">
        <f t="shared" si="2"/>
        <v>1118125935.6601398</v>
      </c>
      <c r="Q12">
        <f t="shared" si="2"/>
        <v>1114771557.8531594</v>
      </c>
      <c r="R12">
        <f t="shared" si="2"/>
        <v>1111427243.1796</v>
      </c>
      <c r="S12">
        <f t="shared" si="2"/>
        <v>1108092961.4500611</v>
      </c>
      <c r="T12">
        <f t="shared" si="2"/>
        <v>1104768682.5657108</v>
      </c>
      <c r="U12">
        <f t="shared" si="2"/>
        <v>1101454376.5180137</v>
      </c>
      <c r="V12">
        <f t="shared" si="2"/>
        <v>1098150013.3884597</v>
      </c>
      <c r="W12">
        <f t="shared" si="2"/>
        <v>1094855563.3482943</v>
      </c>
      <c r="X12">
        <f t="shared" si="2"/>
        <v>1091570996.6582494</v>
      </c>
      <c r="Y12">
        <f t="shared" si="2"/>
        <v>1088296283.6682746</v>
      </c>
      <c r="Z12">
        <f t="shared" si="2"/>
        <v>1085031394.8172698</v>
      </c>
      <c r="AA12">
        <f t="shared" si="2"/>
        <v>1081776300.632818</v>
      </c>
      <c r="AB12">
        <f t="shared" si="2"/>
        <v>1078530971.7309196</v>
      </c>
      <c r="AC12">
        <f t="shared" si="2"/>
        <v>1075295378.8157268</v>
      </c>
      <c r="AD12">
        <f t="shared" si="2"/>
        <v>1072069492.6792796</v>
      </c>
      <c r="AE12">
        <f t="shared" si="2"/>
        <v>1068853284.2012417</v>
      </c>
      <c r="AF12">
        <f t="shared" si="2"/>
        <v>1065646724.3486381</v>
      </c>
      <c r="AG12">
        <f t="shared" si="2"/>
        <v>1062449784.1755922</v>
      </c>
      <c r="AH12">
        <f t="shared" si="2"/>
        <v>1059262434.8230654</v>
      </c>
      <c r="AI12">
        <f t="shared" si="2"/>
        <v>1056084647.5185962</v>
      </c>
      <c r="AJ12">
        <f t="shared" si="2"/>
        <v>1052916393.5760404</v>
      </c>
      <c r="AK12">
        <f t="shared" si="2"/>
        <v>1049757644.3953123</v>
      </c>
      <c r="AL12">
        <f t="shared" si="2"/>
        <v>1046608371.4621264</v>
      </c>
      <c r="AM12">
        <f t="shared" si="2"/>
        <v>1043468546.3477399</v>
      </c>
      <c r="AN12">
        <f t="shared" si="2"/>
        <v>1040338140.7086967</v>
      </c>
      <c r="AO12">
        <f t="shared" si="2"/>
        <v>1037217126.2865707</v>
      </c>
      <c r="AP12">
        <f t="shared" si="2"/>
        <v>1034105474.9077109</v>
      </c>
      <c r="AQ12">
        <f t="shared" si="2"/>
        <v>1031003158.4829878</v>
      </c>
    </row>
    <row r="13" spans="1:43">
      <c r="A13" s="3" t="s">
        <v>8</v>
      </c>
      <c r="B13" s="2" t="s">
        <v>20</v>
      </c>
      <c r="C13" s="4">
        <v>89919131</v>
      </c>
      <c r="D13">
        <f t="shared" si="1"/>
        <v>89649373.606999993</v>
      </c>
      <c r="E13">
        <f t="shared" si="2"/>
        <v>89380425.486178994</v>
      </c>
      <c r="F13">
        <f t="shared" si="2"/>
        <v>89112284.209720463</v>
      </c>
      <c r="G13">
        <f t="shared" si="2"/>
        <v>88844947.357091308</v>
      </c>
      <c r="H13">
        <f t="shared" si="2"/>
        <v>88578412.515020028</v>
      </c>
      <c r="I13">
        <f t="shared" si="2"/>
        <v>88312677.27747497</v>
      </c>
      <c r="J13">
        <f t="shared" si="2"/>
        <v>88047739.245642543</v>
      </c>
      <c r="K13">
        <f t="shared" si="2"/>
        <v>87783596.027905613</v>
      </c>
      <c r="L13">
        <f t="shared" si="2"/>
        <v>87520245.239821896</v>
      </c>
      <c r="M13">
        <f t="shared" si="2"/>
        <v>87257684.504102424</v>
      </c>
      <c r="N13">
        <f t="shared" si="2"/>
        <v>86995911.450590119</v>
      </c>
      <c r="O13">
        <f t="shared" si="2"/>
        <v>86734923.71623835</v>
      </c>
      <c r="P13">
        <f t="shared" si="2"/>
        <v>86474718.945089638</v>
      </c>
      <c r="Q13">
        <f t="shared" si="2"/>
        <v>86215294.788254365</v>
      </c>
      <c r="R13">
        <f t="shared" si="2"/>
        <v>85956648.903889596</v>
      </c>
      <c r="S13">
        <f t="shared" si="2"/>
        <v>85698778.957177922</v>
      </c>
      <c r="T13">
        <f t="shared" si="2"/>
        <v>85441682.620306388</v>
      </c>
      <c r="U13">
        <f t="shared" si="2"/>
        <v>85185357.572445467</v>
      </c>
      <c r="V13">
        <f t="shared" si="2"/>
        <v>84929801.499728128</v>
      </c>
      <c r="W13">
        <f t="shared" si="2"/>
        <v>84675012.09522894</v>
      </c>
      <c r="X13">
        <f t="shared" si="2"/>
        <v>84420987.058943257</v>
      </c>
      <c r="Y13">
        <f t="shared" si="2"/>
        <v>84167724.097766429</v>
      </c>
      <c r="Z13">
        <f t="shared" si="2"/>
        <v>83915220.925473124</v>
      </c>
      <c r="AA13">
        <f t="shared" si="2"/>
        <v>83663475.262696698</v>
      </c>
      <c r="AB13">
        <f t="shared" si="2"/>
        <v>83412484.836908609</v>
      </c>
      <c r="AC13">
        <f t="shared" si="2"/>
        <v>83162247.382397875</v>
      </c>
      <c r="AD13">
        <f t="shared" si="2"/>
        <v>82912760.640250683</v>
      </c>
      <c r="AE13">
        <f t="shared" si="2"/>
        <v>82664022.358329937</v>
      </c>
      <c r="AF13">
        <f t="shared" si="2"/>
        <v>82416030.291254953</v>
      </c>
      <c r="AG13">
        <f t="shared" si="2"/>
        <v>82168782.20038119</v>
      </c>
      <c r="AH13">
        <f t="shared" si="2"/>
        <v>81922275.853780046</v>
      </c>
      <c r="AI13">
        <f t="shared" si="2"/>
        <v>81676509.026218712</v>
      </c>
      <c r="AJ13">
        <f t="shared" si="2"/>
        <v>81431479.499140054</v>
      </c>
      <c r="AK13">
        <f t="shared" si="2"/>
        <v>81187185.06064263</v>
      </c>
      <c r="AL13">
        <f t="shared" si="2"/>
        <v>80943623.505460694</v>
      </c>
      <c r="AM13">
        <f t="shared" si="2"/>
        <v>80700792.634944305</v>
      </c>
      <c r="AN13">
        <f t="shared" si="2"/>
        <v>80458690.257039472</v>
      </c>
      <c r="AO13">
        <f t="shared" si="2"/>
        <v>80217314.186268359</v>
      </c>
      <c r="AP13">
        <f t="shared" si="2"/>
        <v>79976662.243709549</v>
      </c>
      <c r="AQ13">
        <f t="shared" si="2"/>
        <v>79736732.256978422</v>
      </c>
    </row>
    <row r="14" spans="1:43">
      <c r="A14" s="3" t="s">
        <v>8</v>
      </c>
      <c r="B14" s="2" t="s">
        <v>21</v>
      </c>
      <c r="C14" s="4">
        <v>90998860</v>
      </c>
      <c r="D14">
        <f t="shared" si="1"/>
        <v>90725863.420000002</v>
      </c>
      <c r="E14">
        <f t="shared" si="2"/>
        <v>90453685.829740003</v>
      </c>
      <c r="F14">
        <f t="shared" si="2"/>
        <v>90182324.772250786</v>
      </c>
      <c r="G14">
        <f t="shared" si="2"/>
        <v>89911777.79793404</v>
      </c>
      <c r="H14">
        <f t="shared" si="2"/>
        <v>89642042.464540243</v>
      </c>
      <c r="I14">
        <f t="shared" si="2"/>
        <v>89373116.337146625</v>
      </c>
      <c r="J14">
        <f t="shared" si="2"/>
        <v>89104996.988135189</v>
      </c>
      <c r="K14">
        <f t="shared" si="2"/>
        <v>88837681.997170776</v>
      </c>
      <c r="L14">
        <f t="shared" si="2"/>
        <v>88571168.951179266</v>
      </c>
      <c r="M14">
        <f t="shared" si="2"/>
        <v>88305455.44432573</v>
      </c>
      <c r="N14">
        <f t="shared" si="2"/>
        <v>88040539.077992752</v>
      </c>
      <c r="O14">
        <f t="shared" si="2"/>
        <v>87776417.460758775</v>
      </c>
      <c r="P14">
        <f t="shared" si="2"/>
        <v>87513088.208376497</v>
      </c>
      <c r="Q14">
        <f t="shared" si="2"/>
        <v>87250548.943751365</v>
      </c>
      <c r="R14">
        <f t="shared" si="2"/>
        <v>86988797.296920106</v>
      </c>
      <c r="S14">
        <f t="shared" si="2"/>
        <v>86727830.905029342</v>
      </c>
      <c r="T14">
        <f t="shared" si="2"/>
        <v>86467647.412314251</v>
      </c>
      <c r="U14">
        <f t="shared" si="2"/>
        <v>86208244.470077306</v>
      </c>
      <c r="V14">
        <f t="shared" si="2"/>
        <v>85949619.736667067</v>
      </c>
      <c r="W14">
        <f t="shared" si="2"/>
        <v>85691770.877457067</v>
      </c>
      <c r="X14">
        <f t="shared" si="2"/>
        <v>85434695.5648247</v>
      </c>
      <c r="Y14">
        <f t="shared" si="2"/>
        <v>85178391.478130221</v>
      </c>
      <c r="Z14">
        <f t="shared" si="2"/>
        <v>84922856.303695828</v>
      </c>
      <c r="AA14">
        <f t="shared" si="2"/>
        <v>84668087.734784737</v>
      </c>
      <c r="AB14">
        <f t="shared" si="2"/>
        <v>84414083.471580386</v>
      </c>
      <c r="AC14">
        <f t="shared" si="2"/>
        <v>84160841.221165642</v>
      </c>
      <c r="AD14">
        <f t="shared" si="2"/>
        <v>83908358.697502151</v>
      </c>
      <c r="AE14">
        <f t="shared" si="2"/>
        <v>83656633.62140964</v>
      </c>
      <c r="AF14">
        <f t="shared" si="2"/>
        <v>83405663.720545411</v>
      </c>
      <c r="AG14">
        <f t="shared" si="2"/>
        <v>83155446.729383782</v>
      </c>
      <c r="AH14">
        <f t="shared" si="2"/>
        <v>82905980.389195636</v>
      </c>
      <c r="AI14">
        <f t="shared" si="2"/>
        <v>82657262.448028043</v>
      </c>
      <c r="AJ14">
        <f t="shared" si="2"/>
        <v>82409290.66068396</v>
      </c>
      <c r="AK14">
        <f t="shared" si="2"/>
        <v>82162062.788701907</v>
      </c>
      <c r="AL14">
        <f t="shared" si="2"/>
        <v>81915576.600335807</v>
      </c>
      <c r="AM14">
        <f t="shared" si="2"/>
        <v>81669829.870534793</v>
      </c>
      <c r="AN14">
        <f t="shared" si="2"/>
        <v>81424820.380923182</v>
      </c>
      <c r="AO14">
        <f t="shared" si="2"/>
        <v>81180545.919780418</v>
      </c>
      <c r="AP14">
        <f t="shared" si="2"/>
        <v>80937004.282021075</v>
      </c>
      <c r="AQ14">
        <f t="shared" si="2"/>
        <v>80694193.269175008</v>
      </c>
    </row>
    <row r="15" spans="1:43">
      <c r="A15" s="3" t="s">
        <v>8</v>
      </c>
      <c r="B15" s="2" t="s">
        <v>22</v>
      </c>
      <c r="C15" s="4">
        <v>37752949</v>
      </c>
      <c r="D15">
        <f t="shared" si="1"/>
        <v>37639690.152999997</v>
      </c>
      <c r="E15">
        <f t="shared" si="2"/>
        <v>37526771.082540996</v>
      </c>
      <c r="F15">
        <f t="shared" si="2"/>
        <v>37414190.769293375</v>
      </c>
      <c r="G15">
        <f t="shared" si="2"/>
        <v>37301948.196985498</v>
      </c>
      <c r="H15">
        <f t="shared" si="2"/>
        <v>37190042.352394544</v>
      </c>
      <c r="I15">
        <f t="shared" si="2"/>
        <v>37078472.225337356</v>
      </c>
      <c r="J15">
        <f t="shared" si="2"/>
        <v>36967236.808661342</v>
      </c>
      <c r="K15">
        <f t="shared" si="2"/>
        <v>36856335.098235354</v>
      </c>
      <c r="L15">
        <f t="shared" si="2"/>
        <v>36745766.092940651</v>
      </c>
      <c r="M15">
        <f t="shared" si="2"/>
        <v>36635528.794661827</v>
      </c>
      <c r="N15">
        <f t="shared" si="2"/>
        <v>36525622.208277844</v>
      </c>
      <c r="O15">
        <f t="shared" si="2"/>
        <v>36416045.341653012</v>
      </c>
      <c r="P15">
        <f t="shared" si="2"/>
        <v>36306797.205628052</v>
      </c>
      <c r="Q15">
        <f t="shared" si="2"/>
        <v>36197876.814011171</v>
      </c>
      <c r="R15">
        <f t="shared" si="2"/>
        <v>36089283.183569141</v>
      </c>
      <c r="S15">
        <f t="shared" si="2"/>
        <v>35981015.334018432</v>
      </c>
      <c r="T15">
        <f t="shared" si="2"/>
        <v>35873072.288016379</v>
      </c>
      <c r="U15">
        <f t="shared" si="2"/>
        <v>35765453.071152329</v>
      </c>
      <c r="V15">
        <f t="shared" si="2"/>
        <v>35658156.711938873</v>
      </c>
      <c r="W15">
        <f t="shared" ref="E15:AQ21" si="3">0.997*V15</f>
        <v>35551182.241803057</v>
      </c>
      <c r="X15">
        <f t="shared" si="3"/>
        <v>35444528.69507765</v>
      </c>
      <c r="Y15">
        <f t="shared" si="3"/>
        <v>35338195.10899242</v>
      </c>
      <c r="Z15">
        <f t="shared" si="3"/>
        <v>35232180.523665443</v>
      </c>
      <c r="AA15">
        <f t="shared" si="3"/>
        <v>35126483.982094444</v>
      </c>
      <c r="AB15">
        <f t="shared" si="3"/>
        <v>35021104.530148163</v>
      </c>
      <c r="AC15">
        <f t="shared" si="3"/>
        <v>34916041.216557719</v>
      </c>
      <c r="AD15">
        <f t="shared" si="3"/>
        <v>34811293.092908047</v>
      </c>
      <c r="AE15">
        <f t="shared" si="3"/>
        <v>34706859.21362932</v>
      </c>
      <c r="AF15">
        <f t="shared" si="3"/>
        <v>34602738.635988429</v>
      </c>
      <c r="AG15">
        <f t="shared" si="3"/>
        <v>34498930.420080461</v>
      </c>
      <c r="AH15">
        <f t="shared" si="3"/>
        <v>34395433.628820218</v>
      </c>
      <c r="AI15">
        <f t="shared" si="3"/>
        <v>34292247.327933758</v>
      </c>
      <c r="AJ15">
        <f t="shared" si="3"/>
        <v>34189370.585949957</v>
      </c>
      <c r="AK15">
        <f t="shared" si="3"/>
        <v>34086802.474192105</v>
      </c>
      <c r="AL15">
        <f t="shared" si="3"/>
        <v>33984542.066769525</v>
      </c>
      <c r="AM15">
        <f t="shared" si="3"/>
        <v>33882588.440569215</v>
      </c>
      <c r="AN15">
        <f t="shared" si="3"/>
        <v>33780940.675247505</v>
      </c>
      <c r="AO15">
        <f t="shared" si="3"/>
        <v>33679597.853221759</v>
      </c>
      <c r="AP15">
        <f t="shared" si="3"/>
        <v>33578559.059662096</v>
      </c>
      <c r="AQ15">
        <f t="shared" si="3"/>
        <v>33477823.38248311</v>
      </c>
    </row>
    <row r="16" spans="1:43">
      <c r="A16" s="3" t="s">
        <v>8</v>
      </c>
      <c r="B16" s="2" t="s">
        <v>23</v>
      </c>
      <c r="C16" s="4">
        <v>699475285</v>
      </c>
      <c r="D16">
        <f t="shared" si="1"/>
        <v>697376859.14499998</v>
      </c>
      <c r="E16">
        <f t="shared" si="3"/>
        <v>695284728.56756496</v>
      </c>
      <c r="F16">
        <f t="shared" si="3"/>
        <v>693198874.38186228</v>
      </c>
      <c r="G16">
        <f t="shared" si="3"/>
        <v>691119277.7587167</v>
      </c>
      <c r="H16">
        <f t="shared" si="3"/>
        <v>689045919.92544055</v>
      </c>
      <c r="I16">
        <f t="shared" si="3"/>
        <v>686978782.1656642</v>
      </c>
      <c r="J16">
        <f t="shared" si="3"/>
        <v>684917845.81916726</v>
      </c>
      <c r="K16">
        <f t="shared" si="3"/>
        <v>682863092.28170979</v>
      </c>
      <c r="L16">
        <f t="shared" si="3"/>
        <v>680814503.00486469</v>
      </c>
      <c r="M16">
        <f t="shared" si="3"/>
        <v>678772059.49585009</v>
      </c>
      <c r="N16">
        <f t="shared" si="3"/>
        <v>676735743.31736255</v>
      </c>
      <c r="O16">
        <f t="shared" si="3"/>
        <v>674705536.08741045</v>
      </c>
      <c r="P16">
        <f t="shared" si="3"/>
        <v>672681419.47914827</v>
      </c>
      <c r="Q16">
        <f t="shared" si="3"/>
        <v>670663375.22071087</v>
      </c>
      <c r="R16">
        <f t="shared" si="3"/>
        <v>668651385.09504879</v>
      </c>
      <c r="S16">
        <f t="shared" si="3"/>
        <v>666645430.93976367</v>
      </c>
      <c r="T16">
        <f t="shared" si="3"/>
        <v>664645494.6469444</v>
      </c>
      <c r="U16">
        <f t="shared" si="3"/>
        <v>662651558.16300356</v>
      </c>
      <c r="V16">
        <f t="shared" si="3"/>
        <v>660663603.48851454</v>
      </c>
      <c r="W16">
        <f t="shared" si="3"/>
        <v>658681612.67804897</v>
      </c>
      <c r="X16">
        <f t="shared" si="3"/>
        <v>656705567.84001482</v>
      </c>
      <c r="Y16">
        <f t="shared" si="3"/>
        <v>654735451.13649476</v>
      </c>
      <c r="Z16">
        <f t="shared" si="3"/>
        <v>652771244.78308523</v>
      </c>
      <c r="AA16">
        <f t="shared" si="3"/>
        <v>650812931.04873598</v>
      </c>
      <c r="AB16">
        <f t="shared" si="3"/>
        <v>648860492.25558972</v>
      </c>
      <c r="AC16">
        <f t="shared" si="3"/>
        <v>646913910.7788229</v>
      </c>
      <c r="AD16">
        <f t="shared" si="3"/>
        <v>644973169.04648638</v>
      </c>
      <c r="AE16">
        <f t="shared" si="3"/>
        <v>643038249.53934693</v>
      </c>
      <c r="AF16">
        <f t="shared" si="3"/>
        <v>641109134.79072893</v>
      </c>
      <c r="AG16">
        <f t="shared" si="3"/>
        <v>639185807.38635671</v>
      </c>
      <c r="AH16">
        <f t="shared" si="3"/>
        <v>637268249.96419764</v>
      </c>
      <c r="AI16">
        <f t="shared" si="3"/>
        <v>635356445.21430504</v>
      </c>
      <c r="AJ16">
        <f t="shared" si="3"/>
        <v>633450375.87866211</v>
      </c>
      <c r="AK16">
        <f t="shared" si="3"/>
        <v>631550024.75102615</v>
      </c>
      <c r="AL16">
        <f t="shared" si="3"/>
        <v>629655374.67677307</v>
      </c>
      <c r="AM16">
        <f t="shared" si="3"/>
        <v>627766408.55274272</v>
      </c>
      <c r="AN16">
        <f t="shared" si="3"/>
        <v>625883109.32708454</v>
      </c>
      <c r="AO16">
        <f t="shared" si="3"/>
        <v>624005459.99910331</v>
      </c>
      <c r="AP16">
        <f t="shared" si="3"/>
        <v>622133443.61910605</v>
      </c>
      <c r="AQ16">
        <f t="shared" si="3"/>
        <v>620267043.28824878</v>
      </c>
    </row>
    <row r="17" spans="1:43">
      <c r="A17" s="3" t="s">
        <v>8</v>
      </c>
      <c r="B17" s="2" t="s">
        <v>24</v>
      </c>
      <c r="C17" s="4">
        <v>18577400</v>
      </c>
      <c r="D17">
        <f t="shared" si="1"/>
        <v>18521667.800000001</v>
      </c>
      <c r="E17">
        <f t="shared" si="3"/>
        <v>18466102.796599999</v>
      </c>
      <c r="F17">
        <f t="shared" si="3"/>
        <v>18410704.488210198</v>
      </c>
      <c r="G17">
        <f t="shared" si="3"/>
        <v>18355472.374745566</v>
      </c>
      <c r="H17">
        <f t="shared" si="3"/>
        <v>18300405.957621329</v>
      </c>
      <c r="I17">
        <f t="shared" si="3"/>
        <v>18245504.739748463</v>
      </c>
      <c r="J17">
        <f t="shared" si="3"/>
        <v>18190768.225529216</v>
      </c>
      <c r="K17">
        <f t="shared" si="3"/>
        <v>18136195.920852628</v>
      </c>
      <c r="L17">
        <f t="shared" si="3"/>
        <v>18081787.333090071</v>
      </c>
      <c r="M17">
        <f t="shared" si="3"/>
        <v>18027541.971090801</v>
      </c>
      <c r="N17">
        <f t="shared" si="3"/>
        <v>17973459.345177528</v>
      </c>
      <c r="O17">
        <f t="shared" si="3"/>
        <v>17919538.967141993</v>
      </c>
      <c r="P17">
        <f t="shared" si="3"/>
        <v>17865780.350240566</v>
      </c>
      <c r="Q17">
        <f t="shared" si="3"/>
        <v>17812183.009189844</v>
      </c>
      <c r="R17">
        <f t="shared" si="3"/>
        <v>17758746.460162275</v>
      </c>
      <c r="S17">
        <f t="shared" si="3"/>
        <v>17705470.220781788</v>
      </c>
      <c r="T17">
        <f t="shared" si="3"/>
        <v>17652353.810119443</v>
      </c>
      <c r="U17">
        <f t="shared" si="3"/>
        <v>17599396.748689085</v>
      </c>
      <c r="V17">
        <f t="shared" si="3"/>
        <v>17546598.558443017</v>
      </c>
      <c r="W17">
        <f t="shared" si="3"/>
        <v>17493958.762767687</v>
      </c>
      <c r="X17">
        <f t="shared" si="3"/>
        <v>17441476.886479385</v>
      </c>
      <c r="Y17">
        <f t="shared" si="3"/>
        <v>17389152.455819946</v>
      </c>
      <c r="Z17">
        <f t="shared" si="3"/>
        <v>17336984.998452485</v>
      </c>
      <c r="AA17">
        <f t="shared" si="3"/>
        <v>17284974.043457128</v>
      </c>
      <c r="AB17">
        <f t="shared" si="3"/>
        <v>17233119.121326756</v>
      </c>
      <c r="AC17">
        <f t="shared" si="3"/>
        <v>17181419.763962775</v>
      </c>
      <c r="AD17">
        <f t="shared" si="3"/>
        <v>17129875.504670888</v>
      </c>
      <c r="AE17">
        <f t="shared" si="3"/>
        <v>17078485.878156874</v>
      </c>
      <c r="AF17">
        <f t="shared" si="3"/>
        <v>17027250.420522403</v>
      </c>
      <c r="AG17">
        <f t="shared" si="3"/>
        <v>16976168.669260837</v>
      </c>
      <c r="AH17">
        <f t="shared" si="3"/>
        <v>16925240.163253054</v>
      </c>
      <c r="AI17">
        <f t="shared" si="3"/>
        <v>16874464.442763295</v>
      </c>
      <c r="AJ17">
        <f t="shared" si="3"/>
        <v>16823841.049435005</v>
      </c>
      <c r="AK17">
        <f t="shared" si="3"/>
        <v>16773369.526286699</v>
      </c>
      <c r="AL17">
        <f t="shared" si="3"/>
        <v>16723049.417707838</v>
      </c>
      <c r="AM17">
        <f t="shared" si="3"/>
        <v>16672880.269454714</v>
      </c>
      <c r="AN17">
        <f t="shared" si="3"/>
        <v>16622861.62864635</v>
      </c>
      <c r="AO17">
        <f t="shared" si="3"/>
        <v>16572993.04376041</v>
      </c>
      <c r="AP17">
        <f t="shared" si="3"/>
        <v>16523274.064629128</v>
      </c>
      <c r="AQ17">
        <f t="shared" si="3"/>
        <v>16473704.242435241</v>
      </c>
    </row>
    <row r="18" spans="1:43">
      <c r="A18" s="3" t="s">
        <v>8</v>
      </c>
      <c r="B18" s="2" t="s">
        <v>25</v>
      </c>
      <c r="C18" s="4">
        <v>28124026</v>
      </c>
      <c r="D18">
        <f t="shared" si="1"/>
        <v>28039653.921999998</v>
      </c>
      <c r="E18">
        <f t="shared" si="3"/>
        <v>27955534.960233998</v>
      </c>
      <c r="F18">
        <f t="shared" si="3"/>
        <v>27871668.355353296</v>
      </c>
      <c r="G18">
        <f t="shared" si="3"/>
        <v>27788053.350287236</v>
      </c>
      <c r="H18">
        <f t="shared" si="3"/>
        <v>27704689.190236375</v>
      </c>
      <c r="I18">
        <f t="shared" si="3"/>
        <v>27621575.122665666</v>
      </c>
      <c r="J18">
        <f t="shared" si="3"/>
        <v>27538710.397297669</v>
      </c>
      <c r="K18">
        <f t="shared" si="3"/>
        <v>27456094.266105775</v>
      </c>
      <c r="L18">
        <f t="shared" si="3"/>
        <v>27373725.983307458</v>
      </c>
      <c r="M18">
        <f t="shared" si="3"/>
        <v>27291604.805357534</v>
      </c>
      <c r="N18">
        <f t="shared" si="3"/>
        <v>27209729.990941461</v>
      </c>
      <c r="O18">
        <f t="shared" si="3"/>
        <v>27128100.800968636</v>
      </c>
      <c r="P18">
        <f t="shared" si="3"/>
        <v>27046716.49856573</v>
      </c>
      <c r="Q18">
        <f t="shared" si="3"/>
        <v>26965576.349070031</v>
      </c>
      <c r="R18">
        <f t="shared" si="3"/>
        <v>26884679.620022822</v>
      </c>
      <c r="S18">
        <f t="shared" si="3"/>
        <v>26804025.581162754</v>
      </c>
      <c r="T18">
        <f t="shared" si="3"/>
        <v>26723613.504419267</v>
      </c>
      <c r="U18">
        <f t="shared" si="3"/>
        <v>26643442.663906008</v>
      </c>
      <c r="V18">
        <f t="shared" si="3"/>
        <v>26563512.335914291</v>
      </c>
      <c r="W18">
        <f t="shared" si="3"/>
        <v>26483821.79890655</v>
      </c>
      <c r="X18">
        <f t="shared" si="3"/>
        <v>26404370.333509829</v>
      </c>
      <c r="Y18">
        <f t="shared" si="3"/>
        <v>26325157.222509298</v>
      </c>
      <c r="Z18">
        <f t="shared" si="3"/>
        <v>26246181.75084177</v>
      </c>
      <c r="AA18">
        <f t="shared" si="3"/>
        <v>26167443.205589246</v>
      </c>
      <c r="AB18">
        <f t="shared" si="3"/>
        <v>26088940.87597248</v>
      </c>
      <c r="AC18">
        <f t="shared" si="3"/>
        <v>26010674.053344563</v>
      </c>
      <c r="AD18">
        <f t="shared" si="3"/>
        <v>25932642.031184528</v>
      </c>
      <c r="AE18">
        <f t="shared" si="3"/>
        <v>25854844.105090976</v>
      </c>
      <c r="AF18">
        <f t="shared" si="3"/>
        <v>25777279.572775703</v>
      </c>
      <c r="AG18">
        <f t="shared" si="3"/>
        <v>25699947.734057374</v>
      </c>
      <c r="AH18">
        <f t="shared" si="3"/>
        <v>25622847.890855201</v>
      </c>
      <c r="AI18">
        <f t="shared" si="3"/>
        <v>25545979.347182635</v>
      </c>
      <c r="AJ18">
        <f t="shared" si="3"/>
        <v>25469341.409141086</v>
      </c>
      <c r="AK18">
        <f t="shared" si="3"/>
        <v>25392933.384913664</v>
      </c>
      <c r="AL18">
        <f t="shared" si="3"/>
        <v>25316754.584758922</v>
      </c>
      <c r="AM18">
        <f t="shared" si="3"/>
        <v>25240804.321004644</v>
      </c>
      <c r="AN18">
        <f t="shared" si="3"/>
        <v>25165081.90804163</v>
      </c>
      <c r="AO18">
        <f t="shared" si="3"/>
        <v>25089586.662317503</v>
      </c>
      <c r="AP18">
        <f t="shared" si="3"/>
        <v>25014317.902330551</v>
      </c>
      <c r="AQ18">
        <f t="shared" si="3"/>
        <v>24939274.94862356</v>
      </c>
    </row>
    <row r="19" spans="1:43">
      <c r="A19" s="3" t="s">
        <v>8</v>
      </c>
      <c r="B19" s="2" t="s">
        <v>26</v>
      </c>
      <c r="C19" s="4">
        <v>10770824</v>
      </c>
      <c r="D19">
        <f t="shared" si="1"/>
        <v>10738511.528000001</v>
      </c>
      <c r="E19">
        <f t="shared" si="3"/>
        <v>10706295.993416</v>
      </c>
      <c r="F19">
        <f t="shared" si="3"/>
        <v>10674177.105435751</v>
      </c>
      <c r="G19">
        <f t="shared" si="3"/>
        <v>10642154.574119445</v>
      </c>
      <c r="H19">
        <f t="shared" si="3"/>
        <v>10610228.110397087</v>
      </c>
      <c r="I19">
        <f t="shared" si="3"/>
        <v>10578397.426065896</v>
      </c>
      <c r="J19">
        <f t="shared" si="3"/>
        <v>10546662.233787699</v>
      </c>
      <c r="K19">
        <f t="shared" si="3"/>
        <v>10515022.247086335</v>
      </c>
      <c r="L19">
        <f t="shared" si="3"/>
        <v>10483477.180345075</v>
      </c>
      <c r="M19">
        <f t="shared" si="3"/>
        <v>10452026.74880404</v>
      </c>
      <c r="N19">
        <f t="shared" si="3"/>
        <v>10420670.668557629</v>
      </c>
      <c r="O19">
        <f t="shared" si="3"/>
        <v>10389408.656551955</v>
      </c>
      <c r="P19">
        <f t="shared" si="3"/>
        <v>10358240.4305823</v>
      </c>
      <c r="Q19">
        <f t="shared" si="3"/>
        <v>10327165.709290553</v>
      </c>
      <c r="R19">
        <f t="shared" si="3"/>
        <v>10296184.212162681</v>
      </c>
      <c r="S19">
        <f t="shared" si="3"/>
        <v>10265295.659526194</v>
      </c>
      <c r="T19">
        <f t="shared" si="3"/>
        <v>10234499.772547616</v>
      </c>
      <c r="U19">
        <f t="shared" si="3"/>
        <v>10203796.273229973</v>
      </c>
      <c r="V19">
        <f t="shared" si="3"/>
        <v>10173184.884410283</v>
      </c>
      <c r="W19">
        <f t="shared" si="3"/>
        <v>10142665.329757052</v>
      </c>
      <c r="X19">
        <f t="shared" si="3"/>
        <v>10112237.333767781</v>
      </c>
      <c r="Y19">
        <f t="shared" si="3"/>
        <v>10081900.621766478</v>
      </c>
      <c r="Z19">
        <f t="shared" si="3"/>
        <v>10051654.919901179</v>
      </c>
      <c r="AA19">
        <f t="shared" si="3"/>
        <v>10021499.955141475</v>
      </c>
      <c r="AB19">
        <f t="shared" si="3"/>
        <v>9991435.4552760515</v>
      </c>
      <c r="AC19">
        <f t="shared" si="3"/>
        <v>9961461.1489102226</v>
      </c>
      <c r="AD19">
        <f t="shared" si="3"/>
        <v>9931576.7654634919</v>
      </c>
      <c r="AE19">
        <f t="shared" si="3"/>
        <v>9901782.0351671018</v>
      </c>
      <c r="AF19">
        <f t="shared" si="3"/>
        <v>9872076.6890616007</v>
      </c>
      <c r="AG19">
        <f t="shared" si="3"/>
        <v>9842460.4589944165</v>
      </c>
      <c r="AH19">
        <f t="shared" si="3"/>
        <v>9812933.0776174329</v>
      </c>
      <c r="AI19">
        <f t="shared" si="3"/>
        <v>9783494.2783845812</v>
      </c>
      <c r="AJ19">
        <f t="shared" si="3"/>
        <v>9754143.7955494281</v>
      </c>
      <c r="AK19">
        <f t="shared" si="3"/>
        <v>9724881.3641627803</v>
      </c>
      <c r="AL19">
        <f t="shared" si="3"/>
        <v>9695706.7200702913</v>
      </c>
      <c r="AM19">
        <f t="shared" si="3"/>
        <v>9666619.5999100804</v>
      </c>
      <c r="AN19">
        <f t="shared" si="3"/>
        <v>9637619.7411103509</v>
      </c>
      <c r="AO19">
        <f t="shared" si="3"/>
        <v>9608706.8818870205</v>
      </c>
      <c r="AP19">
        <f t="shared" si="3"/>
        <v>9579880.7612413596</v>
      </c>
      <c r="AQ19">
        <f t="shared" si="3"/>
        <v>9551141.118957635</v>
      </c>
    </row>
    <row r="20" spans="1:43">
      <c r="A20" s="3" t="s">
        <v>8</v>
      </c>
      <c r="B20" s="2" t="s">
        <v>27</v>
      </c>
      <c r="C20" s="4">
        <v>6308061</v>
      </c>
      <c r="D20">
        <f t="shared" si="1"/>
        <v>6289136.8169999998</v>
      </c>
      <c r="E20">
        <f t="shared" si="3"/>
        <v>6270269.4065490002</v>
      </c>
      <c r="F20">
        <f t="shared" si="3"/>
        <v>6251458.5983293531</v>
      </c>
      <c r="G20">
        <f t="shared" si="3"/>
        <v>6232704.222534365</v>
      </c>
      <c r="H20">
        <f t="shared" si="3"/>
        <v>6214006.1098667616</v>
      </c>
      <c r="I20">
        <f t="shared" si="3"/>
        <v>6195364.0915371617</v>
      </c>
      <c r="J20">
        <f t="shared" si="3"/>
        <v>6176777.9992625499</v>
      </c>
      <c r="K20">
        <f t="shared" si="3"/>
        <v>6158247.665264762</v>
      </c>
      <c r="L20">
        <f t="shared" si="3"/>
        <v>6139772.9222689681</v>
      </c>
      <c r="M20">
        <f t="shared" si="3"/>
        <v>6121353.6035021609</v>
      </c>
      <c r="N20">
        <f t="shared" si="3"/>
        <v>6102989.5426916545</v>
      </c>
      <c r="O20">
        <f t="shared" si="3"/>
        <v>6084680.5740635796</v>
      </c>
      <c r="P20">
        <f t="shared" si="3"/>
        <v>6066426.532341389</v>
      </c>
      <c r="Q20">
        <f t="shared" si="3"/>
        <v>6048227.2527443646</v>
      </c>
      <c r="R20">
        <f t="shared" si="3"/>
        <v>6030082.5709861312</v>
      </c>
      <c r="S20">
        <f t="shared" si="3"/>
        <v>6011992.3232731726</v>
      </c>
      <c r="T20">
        <f t="shared" si="3"/>
        <v>5993956.3463033531</v>
      </c>
      <c r="U20">
        <f t="shared" si="3"/>
        <v>5975974.4772644434</v>
      </c>
      <c r="V20">
        <f t="shared" si="3"/>
        <v>5958046.5538326502</v>
      </c>
      <c r="W20">
        <f t="shared" si="3"/>
        <v>5940172.4141711518</v>
      </c>
      <c r="X20">
        <f t="shared" si="3"/>
        <v>5922351.8969286382</v>
      </c>
      <c r="Y20">
        <f t="shared" si="3"/>
        <v>5904584.8412378523</v>
      </c>
      <c r="Z20">
        <f t="shared" si="3"/>
        <v>5886871.0867141392</v>
      </c>
      <c r="AA20">
        <f t="shared" si="3"/>
        <v>5869210.4734539967</v>
      </c>
      <c r="AB20">
        <f t="shared" si="3"/>
        <v>5851602.8420336349</v>
      </c>
      <c r="AC20">
        <f t="shared" si="3"/>
        <v>5834048.0335075343</v>
      </c>
      <c r="AD20">
        <f t="shared" si="3"/>
        <v>5816545.8894070117</v>
      </c>
      <c r="AE20">
        <f t="shared" si="3"/>
        <v>5799096.2517387904</v>
      </c>
      <c r="AF20">
        <f t="shared" si="3"/>
        <v>5781698.9629835738</v>
      </c>
      <c r="AG20">
        <f t="shared" si="3"/>
        <v>5764353.8660946228</v>
      </c>
      <c r="AH20">
        <f t="shared" si="3"/>
        <v>5747060.8044963386</v>
      </c>
      <c r="AI20">
        <f t="shared" si="3"/>
        <v>5729819.62208285</v>
      </c>
      <c r="AJ20">
        <f t="shared" si="3"/>
        <v>5712630.1632166011</v>
      </c>
      <c r="AK20">
        <f t="shared" si="3"/>
        <v>5695492.2727269512</v>
      </c>
      <c r="AL20">
        <f t="shared" si="3"/>
        <v>5678405.7959087705</v>
      </c>
      <c r="AM20">
        <f t="shared" si="3"/>
        <v>5661370.578521044</v>
      </c>
      <c r="AN20">
        <f t="shared" si="3"/>
        <v>5644386.4667854812</v>
      </c>
      <c r="AO20">
        <f t="shared" si="3"/>
        <v>5627453.3073851252</v>
      </c>
      <c r="AP20">
        <f t="shared" si="3"/>
        <v>5610570.9474629695</v>
      </c>
      <c r="AQ20">
        <f t="shared" si="3"/>
        <v>5593739.2346205804</v>
      </c>
    </row>
    <row r="21" spans="1:43">
      <c r="A21" s="3" t="s">
        <v>8</v>
      </c>
      <c r="B21" s="2" t="s">
        <v>28</v>
      </c>
      <c r="C21" s="4">
        <v>319697583</v>
      </c>
      <c r="D21">
        <f t="shared" si="1"/>
        <v>318738490.25099999</v>
      </c>
      <c r="E21">
        <f t="shared" si="3"/>
        <v>317782274.78024697</v>
      </c>
      <c r="F21">
        <f t="shared" si="3"/>
        <v>316828927.95590621</v>
      </c>
      <c r="G21">
        <f t="shared" si="3"/>
        <v>315878441.1720385</v>
      </c>
      <c r="H21">
        <f t="shared" si="3"/>
        <v>314930805.84852237</v>
      </c>
      <c r="I21">
        <f t="shared" si="3"/>
        <v>313986013.43097681</v>
      </c>
      <c r="J21">
        <f t="shared" si="3"/>
        <v>313044055.39068389</v>
      </c>
      <c r="K21">
        <f t="shared" si="3"/>
        <v>312104923.22451186</v>
      </c>
      <c r="L21">
        <f t="shared" si="3"/>
        <v>311168608.45483834</v>
      </c>
      <c r="M21">
        <f t="shared" si="3"/>
        <v>310235102.62947381</v>
      </c>
      <c r="N21">
        <f t="shared" si="3"/>
        <v>309304397.32158536</v>
      </c>
      <c r="O21">
        <f t="shared" si="3"/>
        <v>308376484.12962061</v>
      </c>
      <c r="P21">
        <f t="shared" si="3"/>
        <v>307451354.67723173</v>
      </c>
      <c r="Q21">
        <f t="shared" si="3"/>
        <v>306529000.61320001</v>
      </c>
      <c r="R21">
        <f t="shared" si="3"/>
        <v>305609413.61136043</v>
      </c>
      <c r="S21">
        <f t="shared" si="3"/>
        <v>304692585.37052637</v>
      </c>
      <c r="T21">
        <f t="shared" si="3"/>
        <v>303778507.61441481</v>
      </c>
      <c r="U21">
        <f t="shared" si="3"/>
        <v>302867172.09157157</v>
      </c>
      <c r="V21">
        <f t="shared" si="3"/>
        <v>301958570.57529688</v>
      </c>
      <c r="W21">
        <f t="shared" si="3"/>
        <v>301052694.86357099</v>
      </c>
      <c r="X21">
        <f t="shared" si="3"/>
        <v>300149536.77898026</v>
      </c>
      <c r="Y21">
        <f t="shared" si="3"/>
        <v>299249088.1686433</v>
      </c>
      <c r="Z21">
        <f t="shared" si="3"/>
        <v>298351340.90413737</v>
      </c>
      <c r="AA21">
        <f t="shared" si="3"/>
        <v>297456286.88142496</v>
      </c>
      <c r="AB21">
        <f t="shared" si="3"/>
        <v>296563918.02078068</v>
      </c>
      <c r="AC21">
        <f t="shared" si="3"/>
        <v>295674226.26671833</v>
      </c>
      <c r="AD21">
        <f t="shared" si="3"/>
        <v>294787203.58791816</v>
      </c>
      <c r="AE21">
        <f t="shared" si="3"/>
        <v>293902841.97715443</v>
      </c>
      <c r="AF21">
        <f t="shared" si="3"/>
        <v>293021133.45122296</v>
      </c>
      <c r="AG21">
        <f t="shared" si="3"/>
        <v>292142070.05086929</v>
      </c>
      <c r="AH21">
        <f t="shared" si="3"/>
        <v>291265643.84071666</v>
      </c>
      <c r="AI21">
        <f t="shared" si="3"/>
        <v>290391846.90919453</v>
      </c>
      <c r="AJ21">
        <f t="shared" si="3"/>
        <v>289520671.36846697</v>
      </c>
      <c r="AK21">
        <f t="shared" si="3"/>
        <v>288652109.35436159</v>
      </c>
      <c r="AL21">
        <f t="shared" si="3"/>
        <v>287786153.02629852</v>
      </c>
      <c r="AM21">
        <f t="shared" si="3"/>
        <v>286922794.56721961</v>
      </c>
      <c r="AN21">
        <f t="shared" si="3"/>
        <v>286062026.18351793</v>
      </c>
      <c r="AO21">
        <f t="shared" si="3"/>
        <v>285203840.10496736</v>
      </c>
      <c r="AP21">
        <f t="shared" si="3"/>
        <v>284348228.58465242</v>
      </c>
      <c r="AQ21">
        <f t="shared" si="3"/>
        <v>283495183.89889848</v>
      </c>
    </row>
    <row r="22" spans="1:43">
      <c r="A22" s="3" t="s">
        <v>8</v>
      </c>
      <c r="B22" s="2" t="s">
        <v>29</v>
      </c>
      <c r="C22" s="4">
        <v>286256803</v>
      </c>
      <c r="D22">
        <f t="shared" si="1"/>
        <v>285398032.59100002</v>
      </c>
      <c r="E22">
        <f t="shared" ref="E22:AQ28" si="4">0.997*D22</f>
        <v>284541838.49322701</v>
      </c>
      <c r="F22">
        <f t="shared" si="4"/>
        <v>283688212.97774732</v>
      </c>
      <c r="G22">
        <f t="shared" si="4"/>
        <v>282837148.33881408</v>
      </c>
      <c r="H22">
        <f t="shared" si="4"/>
        <v>281988636.89379764</v>
      </c>
      <c r="I22">
        <f t="shared" si="4"/>
        <v>281142670.98311627</v>
      </c>
      <c r="J22">
        <f t="shared" si="4"/>
        <v>280299242.97016692</v>
      </c>
      <c r="K22">
        <f t="shared" si="4"/>
        <v>279458345.24125642</v>
      </c>
      <c r="L22">
        <f t="shared" si="4"/>
        <v>278619970.20553267</v>
      </c>
      <c r="M22">
        <f t="shared" si="4"/>
        <v>277784110.29491609</v>
      </c>
      <c r="N22">
        <f t="shared" si="4"/>
        <v>276950757.96403134</v>
      </c>
      <c r="O22">
        <f t="shared" si="4"/>
        <v>276119905.69013923</v>
      </c>
      <c r="P22">
        <f t="shared" si="4"/>
        <v>275291545.97306883</v>
      </c>
      <c r="Q22">
        <f t="shared" si="4"/>
        <v>274465671.33514965</v>
      </c>
      <c r="R22">
        <f t="shared" si="4"/>
        <v>273642274.32114422</v>
      </c>
      <c r="S22">
        <f t="shared" si="4"/>
        <v>272821347.49818081</v>
      </c>
      <c r="T22">
        <f t="shared" si="4"/>
        <v>272002883.45568627</v>
      </c>
      <c r="U22">
        <f t="shared" si="4"/>
        <v>271186874.80531919</v>
      </c>
      <c r="V22">
        <f t="shared" si="4"/>
        <v>270373314.18090326</v>
      </c>
      <c r="W22">
        <f t="shared" si="4"/>
        <v>269562194.23836052</v>
      </c>
      <c r="X22">
        <f t="shared" si="4"/>
        <v>268753507.65564543</v>
      </c>
      <c r="Y22">
        <f t="shared" si="4"/>
        <v>267947247.13267848</v>
      </c>
      <c r="Z22">
        <f t="shared" si="4"/>
        <v>267143405.39128044</v>
      </c>
      <c r="AA22">
        <f t="shared" si="4"/>
        <v>266341975.17510661</v>
      </c>
      <c r="AB22">
        <f t="shared" si="4"/>
        <v>265542949.24958131</v>
      </c>
      <c r="AC22">
        <f t="shared" si="4"/>
        <v>264746320.40183255</v>
      </c>
      <c r="AD22">
        <f t="shared" si="4"/>
        <v>263952081.44062704</v>
      </c>
      <c r="AE22">
        <f t="shared" si="4"/>
        <v>263160225.19630516</v>
      </c>
      <c r="AF22">
        <f t="shared" si="4"/>
        <v>262370744.52071625</v>
      </c>
      <c r="AG22">
        <f t="shared" si="4"/>
        <v>261583632.28715411</v>
      </c>
      <c r="AH22">
        <f t="shared" si="4"/>
        <v>260798881.39029264</v>
      </c>
      <c r="AI22">
        <f t="shared" si="4"/>
        <v>260016484.74612176</v>
      </c>
      <c r="AJ22">
        <f t="shared" si="4"/>
        <v>259236435.29188341</v>
      </c>
      <c r="AK22">
        <f t="shared" si="4"/>
        <v>258458725.98600775</v>
      </c>
      <c r="AL22">
        <f t="shared" si="4"/>
        <v>257683349.80804974</v>
      </c>
      <c r="AM22">
        <f t="shared" si="4"/>
        <v>256910299.7586256</v>
      </c>
      <c r="AN22">
        <f t="shared" si="4"/>
        <v>256139568.85934973</v>
      </c>
      <c r="AO22">
        <f t="shared" si="4"/>
        <v>255371150.15277168</v>
      </c>
      <c r="AP22">
        <f t="shared" si="4"/>
        <v>254605036.70231336</v>
      </c>
      <c r="AQ22">
        <f t="shared" si="4"/>
        <v>253841221.59220642</v>
      </c>
    </row>
    <row r="23" spans="1:43">
      <c r="A23" s="3" t="s">
        <v>8</v>
      </c>
      <c r="B23" s="2" t="s">
        <v>30</v>
      </c>
      <c r="C23" s="4">
        <v>136152100</v>
      </c>
      <c r="D23">
        <f t="shared" si="1"/>
        <v>135743643.69999999</v>
      </c>
      <c r="E23">
        <f t="shared" si="4"/>
        <v>135336412.76889998</v>
      </c>
      <c r="F23">
        <f t="shared" si="4"/>
        <v>134930403.53059328</v>
      </c>
      <c r="G23">
        <f t="shared" si="4"/>
        <v>134525612.32000148</v>
      </c>
      <c r="H23">
        <f t="shared" si="4"/>
        <v>134122035.48304148</v>
      </c>
      <c r="I23">
        <f t="shared" si="4"/>
        <v>133719669.37659235</v>
      </c>
      <c r="J23">
        <f t="shared" si="4"/>
        <v>133318510.36846258</v>
      </c>
      <c r="K23">
        <f t="shared" si="4"/>
        <v>132918554.83735719</v>
      </c>
      <c r="L23">
        <f t="shared" si="4"/>
        <v>132519799.17284513</v>
      </c>
      <c r="M23">
        <f t="shared" si="4"/>
        <v>132122239.77532659</v>
      </c>
      <c r="N23">
        <f t="shared" si="4"/>
        <v>131725873.05600062</v>
      </c>
      <c r="O23">
        <f t="shared" si="4"/>
        <v>131330695.43683262</v>
      </c>
      <c r="P23">
        <f t="shared" si="4"/>
        <v>130936703.35052213</v>
      </c>
      <c r="Q23">
        <f t="shared" si="4"/>
        <v>130543893.24047056</v>
      </c>
      <c r="R23">
        <f t="shared" si="4"/>
        <v>130152261.56074914</v>
      </c>
      <c r="S23">
        <f t="shared" si="4"/>
        <v>129761804.7760669</v>
      </c>
      <c r="T23">
        <f t="shared" si="4"/>
        <v>129372519.3617387</v>
      </c>
      <c r="U23">
        <f t="shared" si="4"/>
        <v>128984401.80365348</v>
      </c>
      <c r="V23">
        <f t="shared" si="4"/>
        <v>128597448.59824252</v>
      </c>
      <c r="W23">
        <f t="shared" si="4"/>
        <v>128211656.2524478</v>
      </c>
      <c r="X23">
        <f t="shared" si="4"/>
        <v>127827021.28369045</v>
      </c>
      <c r="Y23">
        <f t="shared" si="4"/>
        <v>127443540.21983938</v>
      </c>
      <c r="Z23">
        <f t="shared" si="4"/>
        <v>127061209.59917986</v>
      </c>
      <c r="AA23">
        <f t="shared" si="4"/>
        <v>126680025.97038232</v>
      </c>
      <c r="AB23">
        <f t="shared" si="4"/>
        <v>126299985.89247116</v>
      </c>
      <c r="AC23">
        <f t="shared" si="4"/>
        <v>125921085.93479376</v>
      </c>
      <c r="AD23">
        <f t="shared" si="4"/>
        <v>125543322.67698938</v>
      </c>
      <c r="AE23">
        <f t="shared" si="4"/>
        <v>125166692.7089584</v>
      </c>
      <c r="AF23">
        <f t="shared" si="4"/>
        <v>124791192.63083152</v>
      </c>
      <c r="AG23">
        <f t="shared" si="4"/>
        <v>124416819.05293903</v>
      </c>
      <c r="AH23">
        <f t="shared" si="4"/>
        <v>124043568.59578021</v>
      </c>
      <c r="AI23">
        <f t="shared" si="4"/>
        <v>123671437.88999286</v>
      </c>
      <c r="AJ23">
        <f t="shared" si="4"/>
        <v>123300423.57632288</v>
      </c>
      <c r="AK23">
        <f t="shared" si="4"/>
        <v>122930522.30559391</v>
      </c>
      <c r="AL23">
        <f t="shared" si="4"/>
        <v>122561730.73867713</v>
      </c>
      <c r="AM23">
        <f t="shared" si="4"/>
        <v>122194045.54646109</v>
      </c>
      <c r="AN23">
        <f t="shared" si="4"/>
        <v>121827463.4098217</v>
      </c>
      <c r="AO23">
        <f t="shared" si="4"/>
        <v>121461981.01959224</v>
      </c>
      <c r="AP23">
        <f t="shared" si="4"/>
        <v>121097595.07653347</v>
      </c>
      <c r="AQ23">
        <f t="shared" si="4"/>
        <v>120734302.29130387</v>
      </c>
    </row>
    <row r="24" spans="1:43">
      <c r="A24" s="3" t="s">
        <v>8</v>
      </c>
      <c r="B24" s="2" t="s">
        <v>31</v>
      </c>
      <c r="C24" s="4">
        <v>65305171</v>
      </c>
      <c r="D24">
        <f t="shared" si="1"/>
        <v>65109255.487000003</v>
      </c>
      <c r="E24">
        <f t="shared" si="4"/>
        <v>64913927.720539004</v>
      </c>
      <c r="F24">
        <f t="shared" si="4"/>
        <v>64719185.937377386</v>
      </c>
      <c r="G24">
        <f t="shared" si="4"/>
        <v>64525028.379565254</v>
      </c>
      <c r="H24">
        <f t="shared" si="4"/>
        <v>64331453.29442656</v>
      </c>
      <c r="I24">
        <f t="shared" si="4"/>
        <v>64138458.934543282</v>
      </c>
      <c r="J24">
        <f t="shared" si="4"/>
        <v>63946043.557739653</v>
      </c>
      <c r="K24">
        <f t="shared" si="4"/>
        <v>63754205.42706643</v>
      </c>
      <c r="L24">
        <f t="shared" si="4"/>
        <v>63562942.810785234</v>
      </c>
      <c r="M24">
        <f t="shared" si="4"/>
        <v>63372253.982352875</v>
      </c>
      <c r="N24">
        <f t="shared" si="4"/>
        <v>63182137.220405817</v>
      </c>
      <c r="O24">
        <f t="shared" si="4"/>
        <v>62992590.808744602</v>
      </c>
      <c r="P24">
        <f t="shared" si="4"/>
        <v>62803613.036318369</v>
      </c>
      <c r="Q24">
        <f t="shared" si="4"/>
        <v>62615202.19720941</v>
      </c>
      <c r="R24">
        <f t="shared" si="4"/>
        <v>62427356.590617783</v>
      </c>
      <c r="S24">
        <f t="shared" si="4"/>
        <v>62240074.520845927</v>
      </c>
      <c r="T24">
        <f t="shared" si="4"/>
        <v>62053354.297283389</v>
      </c>
      <c r="U24">
        <f t="shared" si="4"/>
        <v>61867194.23439154</v>
      </c>
      <c r="V24">
        <f t="shared" si="4"/>
        <v>61681592.651688367</v>
      </c>
      <c r="W24">
        <f t="shared" si="4"/>
        <v>61496547.873733304</v>
      </c>
      <c r="X24">
        <f t="shared" si="4"/>
        <v>61312058.230112106</v>
      </c>
      <c r="Y24">
        <f t="shared" si="4"/>
        <v>61128122.05542177</v>
      </c>
      <c r="Z24">
        <f t="shared" si="4"/>
        <v>60944737.689255506</v>
      </c>
      <c r="AA24">
        <f t="shared" si="4"/>
        <v>60761903.476187736</v>
      </c>
      <c r="AB24">
        <f t="shared" si="4"/>
        <v>60579617.76575917</v>
      </c>
      <c r="AC24">
        <f t="shared" si="4"/>
        <v>60397878.912461892</v>
      </c>
      <c r="AD24">
        <f t="shared" si="4"/>
        <v>60216685.275724508</v>
      </c>
      <c r="AE24">
        <f t="shared" si="4"/>
        <v>60036035.219897337</v>
      </c>
      <c r="AF24">
        <f t="shared" si="4"/>
        <v>59855927.114237644</v>
      </c>
      <c r="AG24">
        <f t="shared" si="4"/>
        <v>59676359.332894929</v>
      </c>
      <c r="AH24">
        <f t="shared" si="4"/>
        <v>59497330.254896246</v>
      </c>
      <c r="AI24">
        <f t="shared" si="4"/>
        <v>59318838.264131553</v>
      </c>
      <c r="AJ24">
        <f t="shared" si="4"/>
        <v>59140881.749339156</v>
      </c>
      <c r="AK24">
        <f t="shared" si="4"/>
        <v>58963459.104091138</v>
      </c>
      <c r="AL24">
        <f t="shared" si="4"/>
        <v>58786568.726778865</v>
      </c>
      <c r="AM24">
        <f t="shared" si="4"/>
        <v>58610209.020598531</v>
      </c>
      <c r="AN24">
        <f t="shared" si="4"/>
        <v>58434378.393536732</v>
      </c>
      <c r="AO24">
        <f t="shared" si="4"/>
        <v>58259075.258356124</v>
      </c>
      <c r="AP24">
        <f t="shared" si="4"/>
        <v>58084298.032581054</v>
      </c>
      <c r="AQ24">
        <f t="shared" si="4"/>
        <v>57910045.138483308</v>
      </c>
    </row>
    <row r="25" spans="1:43">
      <c r="A25" s="3" t="s">
        <v>8</v>
      </c>
      <c r="B25" s="2" t="s">
        <v>32</v>
      </c>
      <c r="C25" s="4">
        <v>50822658</v>
      </c>
      <c r="D25">
        <f t="shared" si="1"/>
        <v>50670190.026000001</v>
      </c>
      <c r="E25">
        <f t="shared" si="4"/>
        <v>50518179.455922</v>
      </c>
      <c r="F25">
        <f t="shared" si="4"/>
        <v>50366624.917554237</v>
      </c>
      <c r="G25">
        <f t="shared" si="4"/>
        <v>50215525.042801574</v>
      </c>
      <c r="H25">
        <f t="shared" si="4"/>
        <v>50064878.467673168</v>
      </c>
      <c r="I25">
        <f t="shared" si="4"/>
        <v>49914683.832270145</v>
      </c>
      <c r="J25">
        <f t="shared" si="4"/>
        <v>49764939.780773334</v>
      </c>
      <c r="K25">
        <f t="shared" si="4"/>
        <v>49615644.961431012</v>
      </c>
      <c r="L25">
        <f t="shared" si="4"/>
        <v>49466798.026546717</v>
      </c>
      <c r="M25">
        <f t="shared" si="4"/>
        <v>49318397.632467076</v>
      </c>
      <c r="N25">
        <f t="shared" si="4"/>
        <v>49170442.439569674</v>
      </c>
      <c r="O25">
        <f t="shared" si="4"/>
        <v>49022931.112250969</v>
      </c>
      <c r="P25">
        <f t="shared" si="4"/>
        <v>48875862.318914212</v>
      </c>
      <c r="Q25">
        <f t="shared" si="4"/>
        <v>48729234.731957473</v>
      </c>
      <c r="R25">
        <f t="shared" si="4"/>
        <v>48583047.027761601</v>
      </c>
      <c r="S25">
        <f t="shared" si="4"/>
        <v>48437297.886678316</v>
      </c>
      <c r="T25">
        <f t="shared" si="4"/>
        <v>48291985.993018277</v>
      </c>
      <c r="U25">
        <f t="shared" si="4"/>
        <v>48147110.035039224</v>
      </c>
      <c r="V25">
        <f t="shared" si="4"/>
        <v>48002668.704934105</v>
      </c>
      <c r="W25">
        <f t="shared" si="4"/>
        <v>47858660.698819302</v>
      </c>
      <c r="X25">
        <f t="shared" si="4"/>
        <v>47715084.716722846</v>
      </c>
      <c r="Y25">
        <f t="shared" si="4"/>
        <v>47571939.462572679</v>
      </c>
      <c r="Z25">
        <f t="shared" si="4"/>
        <v>47429223.644184962</v>
      </c>
      <c r="AA25">
        <f t="shared" si="4"/>
        <v>47286935.973252408</v>
      </c>
      <c r="AB25">
        <f t="shared" si="4"/>
        <v>47145075.165332653</v>
      </c>
      <c r="AC25">
        <f t="shared" si="4"/>
        <v>47003639.939836651</v>
      </c>
      <c r="AD25">
        <f t="shared" si="4"/>
        <v>46862629.02001714</v>
      </c>
      <c r="AE25">
        <f t="shared" si="4"/>
        <v>46722041.132957086</v>
      </c>
      <c r="AF25">
        <f t="shared" si="4"/>
        <v>46581875.009558216</v>
      </c>
      <c r="AG25">
        <f t="shared" si="4"/>
        <v>46442129.384529538</v>
      </c>
      <c r="AH25">
        <f t="shared" si="4"/>
        <v>46302802.996375948</v>
      </c>
      <c r="AI25">
        <f t="shared" si="4"/>
        <v>46163894.587386817</v>
      </c>
      <c r="AJ25">
        <f t="shared" si="4"/>
        <v>46025402.903624654</v>
      </c>
      <c r="AK25">
        <f t="shared" si="4"/>
        <v>45887326.694913782</v>
      </c>
      <c r="AL25">
        <f t="shared" si="4"/>
        <v>45749664.714829043</v>
      </c>
      <c r="AM25">
        <f t="shared" si="4"/>
        <v>45612415.720684558</v>
      </c>
      <c r="AN25">
        <f t="shared" si="4"/>
        <v>45475578.473522507</v>
      </c>
      <c r="AO25">
        <f t="shared" si="4"/>
        <v>45339151.738101937</v>
      </c>
      <c r="AP25">
        <f t="shared" si="4"/>
        <v>45203134.28288763</v>
      </c>
      <c r="AQ25">
        <f t="shared" si="4"/>
        <v>45067524.880038969</v>
      </c>
    </row>
    <row r="26" spans="1:43">
      <c r="A26" s="3" t="s">
        <v>8</v>
      </c>
      <c r="B26" s="2" t="s">
        <v>33</v>
      </c>
      <c r="C26" s="4">
        <v>8064983</v>
      </c>
      <c r="D26">
        <f t="shared" si="1"/>
        <v>8040788.051</v>
      </c>
      <c r="E26">
        <f t="shared" si="4"/>
        <v>8016665.6868470004</v>
      </c>
      <c r="F26">
        <f t="shared" si="4"/>
        <v>7992615.6897864593</v>
      </c>
      <c r="G26">
        <f t="shared" si="4"/>
        <v>7968637.8427170999</v>
      </c>
      <c r="H26">
        <f t="shared" si="4"/>
        <v>7944731.9291889491</v>
      </c>
      <c r="I26">
        <f t="shared" si="4"/>
        <v>7920897.7334013823</v>
      </c>
      <c r="J26">
        <f t="shared" si="4"/>
        <v>7897135.0402011778</v>
      </c>
      <c r="K26">
        <f t="shared" si="4"/>
        <v>7873443.6350805741</v>
      </c>
      <c r="L26">
        <f t="shared" si="4"/>
        <v>7849823.3041753322</v>
      </c>
      <c r="M26">
        <f t="shared" si="4"/>
        <v>7826273.834262806</v>
      </c>
      <c r="N26">
        <f t="shared" si="4"/>
        <v>7802795.012760018</v>
      </c>
      <c r="O26">
        <f t="shared" si="4"/>
        <v>7779386.6277217381</v>
      </c>
      <c r="P26">
        <f t="shared" si="4"/>
        <v>7756048.4678385733</v>
      </c>
      <c r="Q26">
        <f t="shared" si="4"/>
        <v>7732780.3224350577</v>
      </c>
      <c r="R26">
        <f t="shared" si="4"/>
        <v>7709581.9814677527</v>
      </c>
      <c r="S26">
        <f t="shared" si="4"/>
        <v>7686453.2355233496</v>
      </c>
      <c r="T26">
        <f t="shared" si="4"/>
        <v>7663393.8758167792</v>
      </c>
      <c r="U26">
        <f t="shared" si="4"/>
        <v>7640403.6941893287</v>
      </c>
      <c r="V26">
        <f t="shared" si="4"/>
        <v>7617482.4831067603</v>
      </c>
      <c r="W26">
        <f t="shared" si="4"/>
        <v>7594630.0356574403</v>
      </c>
      <c r="X26">
        <f t="shared" si="4"/>
        <v>7571846.145550468</v>
      </c>
      <c r="Y26">
        <f t="shared" si="4"/>
        <v>7549130.6071138168</v>
      </c>
      <c r="Z26">
        <f t="shared" si="4"/>
        <v>7526483.2152924752</v>
      </c>
      <c r="AA26">
        <f t="shared" si="4"/>
        <v>7503903.7656465974</v>
      </c>
      <c r="AB26">
        <f t="shared" si="4"/>
        <v>7481392.0543496571</v>
      </c>
      <c r="AC26">
        <f t="shared" si="4"/>
        <v>7458947.8781866077</v>
      </c>
      <c r="AD26">
        <f t="shared" si="4"/>
        <v>7436571.034552048</v>
      </c>
      <c r="AE26">
        <f t="shared" si="4"/>
        <v>7414261.3214483922</v>
      </c>
      <c r="AF26">
        <f t="shared" si="4"/>
        <v>7392018.537484047</v>
      </c>
      <c r="AG26">
        <f t="shared" si="4"/>
        <v>7369842.4818715947</v>
      </c>
      <c r="AH26">
        <f t="shared" si="4"/>
        <v>7347732.9544259794</v>
      </c>
      <c r="AI26">
        <f t="shared" si="4"/>
        <v>7325689.7555627013</v>
      </c>
      <c r="AJ26">
        <f t="shared" si="4"/>
        <v>7303712.6862960132</v>
      </c>
      <c r="AK26">
        <f t="shared" si="4"/>
        <v>7281801.5482371254</v>
      </c>
      <c r="AL26">
        <f t="shared" si="4"/>
        <v>7259956.1435924144</v>
      </c>
      <c r="AM26">
        <f t="shared" si="4"/>
        <v>7238176.275161637</v>
      </c>
      <c r="AN26">
        <f t="shared" si="4"/>
        <v>7216461.7463361518</v>
      </c>
      <c r="AO26">
        <f t="shared" si="4"/>
        <v>7194812.361097143</v>
      </c>
      <c r="AP26">
        <f t="shared" si="4"/>
        <v>7173227.9240138512</v>
      </c>
      <c r="AQ26">
        <f t="shared" si="4"/>
        <v>7151708.2402418097</v>
      </c>
    </row>
    <row r="27" spans="1:43">
      <c r="A27" s="3" t="s">
        <v>8</v>
      </c>
      <c r="B27" s="2" t="s">
        <v>34</v>
      </c>
      <c r="C27" s="4">
        <v>1025475472</v>
      </c>
      <c r="D27">
        <f t="shared" si="1"/>
        <v>1022399045.584</v>
      </c>
      <c r="E27">
        <f t="shared" si="4"/>
        <v>1019331848.447248</v>
      </c>
      <c r="F27">
        <f t="shared" si="4"/>
        <v>1016273852.9019063</v>
      </c>
      <c r="G27">
        <f t="shared" si="4"/>
        <v>1013225031.3432006</v>
      </c>
      <c r="H27">
        <f t="shared" si="4"/>
        <v>1010185356.249171</v>
      </c>
      <c r="I27">
        <f t="shared" si="4"/>
        <v>1007154800.1804235</v>
      </c>
      <c r="J27">
        <f t="shared" si="4"/>
        <v>1004133335.7798822</v>
      </c>
      <c r="K27">
        <f t="shared" si="4"/>
        <v>1001120935.7725426</v>
      </c>
      <c r="L27">
        <f t="shared" si="4"/>
        <v>998117572.96522498</v>
      </c>
      <c r="M27">
        <f t="shared" si="4"/>
        <v>995123220.24632931</v>
      </c>
      <c r="N27">
        <f t="shared" si="4"/>
        <v>992137850.58559036</v>
      </c>
      <c r="O27">
        <f t="shared" si="4"/>
        <v>989161437.03383362</v>
      </c>
      <c r="P27">
        <f t="shared" si="4"/>
        <v>986193952.72273207</v>
      </c>
      <c r="Q27">
        <f t="shared" si="4"/>
        <v>983235370.86456382</v>
      </c>
      <c r="R27">
        <f t="shared" si="4"/>
        <v>980285664.75197017</v>
      </c>
      <c r="S27">
        <f t="shared" si="4"/>
        <v>977344807.75771427</v>
      </c>
      <c r="T27">
        <f t="shared" si="4"/>
        <v>974412773.33444118</v>
      </c>
      <c r="U27">
        <f t="shared" si="4"/>
        <v>971489535.01443791</v>
      </c>
      <c r="V27">
        <f t="shared" si="4"/>
        <v>968575066.40939462</v>
      </c>
      <c r="W27">
        <f t="shared" si="4"/>
        <v>965669341.21016645</v>
      </c>
      <c r="X27">
        <f t="shared" si="4"/>
        <v>962772333.18653595</v>
      </c>
      <c r="Y27">
        <f t="shared" si="4"/>
        <v>959884016.18697631</v>
      </c>
      <c r="Z27">
        <f t="shared" si="4"/>
        <v>957004364.13841534</v>
      </c>
      <c r="AA27">
        <f t="shared" si="4"/>
        <v>954133351.04600012</v>
      </c>
      <c r="AB27">
        <f t="shared" si="4"/>
        <v>951270950.99286211</v>
      </c>
      <c r="AC27">
        <f t="shared" si="4"/>
        <v>948417138.13988352</v>
      </c>
      <c r="AD27">
        <f t="shared" si="4"/>
        <v>945571886.72546387</v>
      </c>
      <c r="AE27">
        <f t="shared" si="4"/>
        <v>942735171.06528747</v>
      </c>
      <c r="AF27">
        <f t="shared" si="4"/>
        <v>939906965.5520916</v>
      </c>
      <c r="AG27">
        <f t="shared" si="4"/>
        <v>937087244.65543532</v>
      </c>
      <c r="AH27">
        <f t="shared" si="4"/>
        <v>934275982.92146897</v>
      </c>
      <c r="AI27">
        <f t="shared" si="4"/>
        <v>931473154.97270453</v>
      </c>
      <c r="AJ27">
        <f t="shared" si="4"/>
        <v>928678735.50778639</v>
      </c>
      <c r="AK27">
        <f t="shared" si="4"/>
        <v>925892699.30126297</v>
      </c>
      <c r="AL27">
        <f t="shared" si="4"/>
        <v>923115021.20335913</v>
      </c>
      <c r="AM27">
        <f t="shared" si="4"/>
        <v>920345676.13974905</v>
      </c>
      <c r="AN27">
        <f t="shared" si="4"/>
        <v>917584639.11132979</v>
      </c>
      <c r="AO27">
        <f t="shared" si="4"/>
        <v>914831885.19399583</v>
      </c>
      <c r="AP27">
        <f t="shared" si="4"/>
        <v>912087389.53841388</v>
      </c>
      <c r="AQ27">
        <f t="shared" si="4"/>
        <v>909351127.36979866</v>
      </c>
    </row>
    <row r="28" spans="1:43">
      <c r="A28" s="3" t="s">
        <v>8</v>
      </c>
      <c r="B28" s="2" t="s">
        <v>35</v>
      </c>
      <c r="C28" s="4">
        <v>123368769</v>
      </c>
      <c r="D28">
        <f t="shared" si="1"/>
        <v>122998662.693</v>
      </c>
      <c r="E28">
        <f t="shared" si="4"/>
        <v>122629666.70492101</v>
      </c>
      <c r="F28">
        <f t="shared" si="4"/>
        <v>122261777.70480624</v>
      </c>
      <c r="G28">
        <f t="shared" si="4"/>
        <v>121894992.37169182</v>
      </c>
      <c r="H28">
        <f t="shared" si="4"/>
        <v>121529307.39457674</v>
      </c>
      <c r="I28">
        <f t="shared" si="4"/>
        <v>121164719.47239301</v>
      </c>
      <c r="J28">
        <f t="shared" si="4"/>
        <v>120801225.31397583</v>
      </c>
      <c r="K28">
        <f t="shared" si="4"/>
        <v>120438821.6380339</v>
      </c>
      <c r="L28">
        <f t="shared" si="4"/>
        <v>120077505.1731198</v>
      </c>
      <c r="M28">
        <f t="shared" si="4"/>
        <v>119717272.65760043</v>
      </c>
      <c r="N28">
        <f t="shared" si="4"/>
        <v>119358120.83962764</v>
      </c>
      <c r="O28">
        <f t="shared" si="4"/>
        <v>119000046.47710876</v>
      </c>
      <c r="P28">
        <f t="shared" si="4"/>
        <v>118643046.33767743</v>
      </c>
      <c r="Q28">
        <f t="shared" si="4"/>
        <v>118287117.1986644</v>
      </c>
      <c r="R28">
        <f t="shared" si="4"/>
        <v>117932255.8470684</v>
      </c>
      <c r="S28">
        <f t="shared" si="4"/>
        <v>117578459.0795272</v>
      </c>
      <c r="T28">
        <f t="shared" si="4"/>
        <v>117225723.70228861</v>
      </c>
      <c r="U28">
        <f t="shared" si="4"/>
        <v>116874046.53118175</v>
      </c>
      <c r="V28">
        <f t="shared" si="4"/>
        <v>116523424.39158821</v>
      </c>
      <c r="W28">
        <f t="shared" si="4"/>
        <v>116173854.11841345</v>
      </c>
      <c r="X28">
        <f t="shared" si="4"/>
        <v>115825332.55605821</v>
      </c>
      <c r="Y28">
        <f t="shared" si="4"/>
        <v>115477856.55839004</v>
      </c>
      <c r="Z28">
        <f t="shared" ref="Z28:AQ28" si="5">0.997*Y28</f>
        <v>115131422.98871486</v>
      </c>
      <c r="AA28">
        <f t="shared" si="5"/>
        <v>114786028.71974872</v>
      </c>
      <c r="AB28">
        <f t="shared" si="5"/>
        <v>114441670.63358948</v>
      </c>
      <c r="AC28">
        <f t="shared" si="5"/>
        <v>114098345.62168871</v>
      </c>
      <c r="AD28">
        <f t="shared" si="5"/>
        <v>113756050.58482364</v>
      </c>
      <c r="AE28">
        <f t="shared" si="5"/>
        <v>113414782.43306917</v>
      </c>
      <c r="AF28">
        <f t="shared" si="5"/>
        <v>113074538.08576997</v>
      </c>
      <c r="AG28">
        <f t="shared" si="5"/>
        <v>112735314.47151266</v>
      </c>
      <c r="AH28">
        <f t="shared" si="5"/>
        <v>112397108.52809812</v>
      </c>
      <c r="AI28">
        <f t="shared" si="5"/>
        <v>112059917.20251383</v>
      </c>
      <c r="AJ28">
        <f t="shared" si="5"/>
        <v>111723737.45090629</v>
      </c>
      <c r="AK28">
        <f t="shared" si="5"/>
        <v>111388566.23855357</v>
      </c>
      <c r="AL28">
        <f t="shared" si="5"/>
        <v>111054400.53983791</v>
      </c>
      <c r="AM28">
        <f t="shared" si="5"/>
        <v>110721237.33821839</v>
      </c>
      <c r="AN28">
        <f t="shared" si="5"/>
        <v>110389073.62620373</v>
      </c>
      <c r="AO28">
        <f t="shared" si="5"/>
        <v>110057906.40532511</v>
      </c>
      <c r="AP28">
        <f t="shared" si="5"/>
        <v>109727732.68610914</v>
      </c>
      <c r="AQ28">
        <f t="shared" si="5"/>
        <v>109398549.48805082</v>
      </c>
    </row>
    <row r="29" spans="1:43" s="8" customFormat="1">
      <c r="A29" s="5" t="s">
        <v>36</v>
      </c>
      <c r="B29" s="6" t="s">
        <v>9</v>
      </c>
      <c r="C29" s="7">
        <v>175505382</v>
      </c>
      <c r="AQ29" s="6"/>
    </row>
    <row r="30" spans="1:43">
      <c r="A30" s="3" t="s">
        <v>36</v>
      </c>
      <c r="B30" s="2" t="s">
        <v>10</v>
      </c>
      <c r="C30" s="4">
        <v>179280291</v>
      </c>
    </row>
    <row r="31" spans="1:43">
      <c r="A31" s="3" t="s">
        <v>36</v>
      </c>
      <c r="B31" s="2" t="s">
        <v>11</v>
      </c>
      <c r="C31" s="4">
        <v>93421183</v>
      </c>
    </row>
    <row r="32" spans="1:43">
      <c r="A32" s="3" t="s">
        <v>36</v>
      </c>
      <c r="B32" s="2" t="s">
        <v>12</v>
      </c>
      <c r="C32" s="4">
        <v>40161976</v>
      </c>
    </row>
    <row r="33" spans="1:3">
      <c r="A33" s="3" t="s">
        <v>36</v>
      </c>
      <c r="B33" s="2" t="s">
        <v>13</v>
      </c>
      <c r="C33" s="4">
        <v>31223377</v>
      </c>
    </row>
    <row r="34" spans="1:3">
      <c r="A34" s="3" t="s">
        <v>36</v>
      </c>
      <c r="B34" s="2" t="s">
        <v>14</v>
      </c>
      <c r="C34" s="4">
        <v>110282225</v>
      </c>
    </row>
    <row r="35" spans="1:3">
      <c r="A35" s="3" t="s">
        <v>36</v>
      </c>
      <c r="B35" s="2" t="s">
        <v>15</v>
      </c>
      <c r="C35" s="4">
        <v>84591452</v>
      </c>
    </row>
    <row r="36" spans="1:3">
      <c r="A36" s="3" t="s">
        <v>36</v>
      </c>
      <c r="B36" s="2" t="s">
        <v>16</v>
      </c>
      <c r="C36" s="4">
        <v>8178748</v>
      </c>
    </row>
    <row r="37" spans="1:3">
      <c r="A37" s="3" t="s">
        <v>36</v>
      </c>
      <c r="B37" s="2" t="s">
        <v>17</v>
      </c>
      <c r="C37" s="4">
        <v>120144375</v>
      </c>
    </row>
    <row r="38" spans="1:3">
      <c r="A38" s="3" t="s">
        <v>36</v>
      </c>
      <c r="B38" s="2" t="s">
        <v>18</v>
      </c>
      <c r="C38" s="4">
        <v>523328214</v>
      </c>
    </row>
    <row r="39" spans="1:3">
      <c r="A39" s="3" t="s">
        <v>36</v>
      </c>
      <c r="B39" s="2" t="s">
        <v>19</v>
      </c>
      <c r="C39" s="4">
        <v>2149374638</v>
      </c>
    </row>
    <row r="40" spans="1:3">
      <c r="A40" s="3" t="s">
        <v>36</v>
      </c>
      <c r="B40" s="2" t="s">
        <v>20</v>
      </c>
      <c r="C40" s="4">
        <v>135883258</v>
      </c>
    </row>
    <row r="41" spans="1:3">
      <c r="A41" s="3" t="s">
        <v>36</v>
      </c>
      <c r="B41" s="2" t="s">
        <v>21</v>
      </c>
      <c r="C41" s="4">
        <v>86586766</v>
      </c>
    </row>
    <row r="42" spans="1:3">
      <c r="A42" s="3" t="s">
        <v>36</v>
      </c>
      <c r="B42" s="2" t="s">
        <v>22</v>
      </c>
      <c r="C42" s="4">
        <v>39561291</v>
      </c>
    </row>
    <row r="43" spans="1:3">
      <c r="A43" s="3" t="s">
        <v>36</v>
      </c>
      <c r="B43" s="2" t="s">
        <v>23</v>
      </c>
      <c r="C43" s="4">
        <v>602605444</v>
      </c>
    </row>
    <row r="44" spans="1:3">
      <c r="A44" s="3" t="s">
        <v>36</v>
      </c>
      <c r="B44" s="2" t="s">
        <v>24</v>
      </c>
      <c r="C44" s="4">
        <v>11520233</v>
      </c>
    </row>
    <row r="45" spans="1:3">
      <c r="A45" s="3" t="s">
        <v>36</v>
      </c>
      <c r="B45" s="2" t="s">
        <v>25</v>
      </c>
      <c r="C45" s="4">
        <v>36748089</v>
      </c>
    </row>
    <row r="46" spans="1:3">
      <c r="A46" s="3" t="s">
        <v>36</v>
      </c>
      <c r="B46" s="2" t="s">
        <v>26</v>
      </c>
      <c r="C46" s="4">
        <v>5997800</v>
      </c>
    </row>
    <row r="47" spans="1:3">
      <c r="A47" s="3" t="s">
        <v>36</v>
      </c>
      <c r="B47" s="2" t="s">
        <v>27</v>
      </c>
      <c r="C47" s="4">
        <v>5782286</v>
      </c>
    </row>
    <row r="48" spans="1:3">
      <c r="A48" s="3" t="s">
        <v>36</v>
      </c>
      <c r="B48" s="2" t="s">
        <v>28</v>
      </c>
      <c r="C48" s="4">
        <v>174446100</v>
      </c>
    </row>
    <row r="49" spans="1:43">
      <c r="A49" s="3" t="s">
        <v>36</v>
      </c>
      <c r="B49" s="2" t="s">
        <v>29</v>
      </c>
      <c r="C49" s="4">
        <v>312826267</v>
      </c>
    </row>
    <row r="50" spans="1:43">
      <c r="A50" s="3" t="s">
        <v>36</v>
      </c>
      <c r="B50" s="2" t="s">
        <v>30</v>
      </c>
      <c r="C50" s="4">
        <v>100131893</v>
      </c>
    </row>
    <row r="51" spans="1:43">
      <c r="A51" s="3" t="s">
        <v>36</v>
      </c>
      <c r="B51" s="2" t="s">
        <v>31</v>
      </c>
      <c r="C51" s="4">
        <v>146975010</v>
      </c>
    </row>
    <row r="52" spans="1:43">
      <c r="A52" s="3" t="s">
        <v>36</v>
      </c>
      <c r="B52" s="2" t="s">
        <v>32</v>
      </c>
      <c r="C52" s="4">
        <v>45322861</v>
      </c>
    </row>
    <row r="53" spans="1:43">
      <c r="A53" s="3" t="s">
        <v>36</v>
      </c>
      <c r="B53" s="2" t="s">
        <v>33</v>
      </c>
      <c r="C53" s="4">
        <v>29865616</v>
      </c>
    </row>
    <row r="54" spans="1:43">
      <c r="A54" s="3" t="s">
        <v>36</v>
      </c>
      <c r="B54" s="2" t="s">
        <v>34</v>
      </c>
      <c r="C54" s="4">
        <v>949207038</v>
      </c>
    </row>
    <row r="55" spans="1:43">
      <c r="A55" s="3" t="s">
        <v>36</v>
      </c>
      <c r="B55" s="2" t="s">
        <v>35</v>
      </c>
      <c r="C55" s="4">
        <v>137870549</v>
      </c>
    </row>
    <row r="56" spans="1:43" s="8" customFormat="1">
      <c r="A56" s="5" t="s">
        <v>37</v>
      </c>
      <c r="B56" s="6" t="s">
        <v>9</v>
      </c>
      <c r="C56" s="7">
        <v>99771613</v>
      </c>
      <c r="AQ56" s="6"/>
    </row>
    <row r="57" spans="1:43">
      <c r="A57" s="3" t="s">
        <v>37</v>
      </c>
      <c r="B57" s="2" t="s">
        <v>10</v>
      </c>
      <c r="C57" s="4">
        <v>91761161</v>
      </c>
    </row>
    <row r="58" spans="1:43">
      <c r="A58" s="3" t="s">
        <v>37</v>
      </c>
      <c r="B58" s="2" t="s">
        <v>11</v>
      </c>
      <c r="C58" s="4">
        <v>57900793</v>
      </c>
    </row>
    <row r="59" spans="1:43">
      <c r="A59" s="3" t="s">
        <v>37</v>
      </c>
      <c r="B59" s="2" t="s">
        <v>12</v>
      </c>
      <c r="C59" s="4">
        <v>41101083</v>
      </c>
    </row>
    <row r="60" spans="1:43">
      <c r="A60" s="3" t="s">
        <v>37</v>
      </c>
      <c r="B60" s="2" t="s">
        <v>13</v>
      </c>
      <c r="C60" s="4">
        <v>16557492</v>
      </c>
    </row>
    <row r="61" spans="1:43">
      <c r="A61" s="3" t="s">
        <v>37</v>
      </c>
      <c r="B61" s="2" t="s">
        <v>14</v>
      </c>
      <c r="C61" s="4">
        <v>88675430</v>
      </c>
    </row>
    <row r="62" spans="1:43">
      <c r="A62" s="3" t="s">
        <v>37</v>
      </c>
      <c r="B62" s="2" t="s">
        <v>15</v>
      </c>
      <c r="C62" s="4">
        <v>86342707</v>
      </c>
    </row>
    <row r="63" spans="1:43">
      <c r="A63" s="3" t="s">
        <v>37</v>
      </c>
      <c r="B63" s="2" t="s">
        <v>16</v>
      </c>
      <c r="C63" s="4">
        <v>4816345</v>
      </c>
    </row>
    <row r="64" spans="1:43">
      <c r="A64" s="3" t="s">
        <v>37</v>
      </c>
      <c r="B64" s="2" t="s">
        <v>17</v>
      </c>
      <c r="C64" s="4">
        <v>78884739</v>
      </c>
    </row>
    <row r="65" spans="1:3">
      <c r="A65" s="3" t="s">
        <v>37</v>
      </c>
      <c r="B65" s="2" t="s">
        <v>18</v>
      </c>
      <c r="C65" s="4">
        <v>539371676</v>
      </c>
    </row>
    <row r="66" spans="1:3">
      <c r="A66" s="3" t="s">
        <v>37</v>
      </c>
      <c r="B66" s="2" t="s">
        <v>19</v>
      </c>
      <c r="C66" s="4">
        <v>1089198815</v>
      </c>
    </row>
    <row r="67" spans="1:3">
      <c r="A67" s="3" t="s">
        <v>37</v>
      </c>
      <c r="B67" s="2" t="s">
        <v>20</v>
      </c>
      <c r="C67" s="4">
        <v>111475226</v>
      </c>
    </row>
    <row r="68" spans="1:3">
      <c r="A68" s="3" t="s">
        <v>37</v>
      </c>
      <c r="B68" s="2" t="s">
        <v>21</v>
      </c>
      <c r="C68" s="4">
        <v>47882392</v>
      </c>
    </row>
    <row r="69" spans="1:3">
      <c r="A69" s="3" t="s">
        <v>37</v>
      </c>
      <c r="B69" s="2" t="s">
        <v>22</v>
      </c>
      <c r="C69" s="4">
        <v>30399496</v>
      </c>
    </row>
    <row r="70" spans="1:3">
      <c r="A70" s="3" t="s">
        <v>37</v>
      </c>
      <c r="B70" s="2" t="s">
        <v>23</v>
      </c>
      <c r="C70" s="4">
        <v>587670096</v>
      </c>
    </row>
    <row r="71" spans="1:3">
      <c r="A71" s="3" t="s">
        <v>37</v>
      </c>
      <c r="B71" s="2" t="s">
        <v>24</v>
      </c>
      <c r="C71" s="4">
        <v>10402157</v>
      </c>
    </row>
    <row r="72" spans="1:3">
      <c r="A72" s="3" t="s">
        <v>37</v>
      </c>
      <c r="B72" s="2" t="s">
        <v>25</v>
      </c>
      <c r="C72" s="4">
        <v>28104958</v>
      </c>
    </row>
    <row r="73" spans="1:3">
      <c r="A73" s="3" t="s">
        <v>37</v>
      </c>
      <c r="B73" s="2" t="s">
        <v>26</v>
      </c>
      <c r="C73" s="4">
        <v>4566697</v>
      </c>
    </row>
    <row r="74" spans="1:3">
      <c r="A74" s="3" t="s">
        <v>37</v>
      </c>
      <c r="B74" s="2" t="s">
        <v>27</v>
      </c>
      <c r="C74" s="4">
        <v>3630818</v>
      </c>
    </row>
    <row r="75" spans="1:3">
      <c r="A75" s="3" t="s">
        <v>37</v>
      </c>
      <c r="B75" s="2" t="s">
        <v>28</v>
      </c>
      <c r="C75" s="4">
        <v>130891990</v>
      </c>
    </row>
    <row r="76" spans="1:3">
      <c r="A76" s="3" t="s">
        <v>37</v>
      </c>
      <c r="B76" s="2" t="s">
        <v>29</v>
      </c>
      <c r="C76" s="4">
        <v>180198874</v>
      </c>
    </row>
    <row r="77" spans="1:3">
      <c r="A77" s="3" t="s">
        <v>37</v>
      </c>
      <c r="B77" s="2" t="s">
        <v>30</v>
      </c>
      <c r="C77" s="4">
        <v>108767838</v>
      </c>
    </row>
    <row r="78" spans="1:3">
      <c r="A78" s="3" t="s">
        <v>37</v>
      </c>
      <c r="B78" s="2" t="s">
        <v>31</v>
      </c>
      <c r="C78" s="4">
        <v>62699679</v>
      </c>
    </row>
    <row r="79" spans="1:3">
      <c r="A79" s="3" t="s">
        <v>37</v>
      </c>
      <c r="B79" s="2" t="s">
        <v>32</v>
      </c>
      <c r="C79" s="4">
        <v>24156448</v>
      </c>
    </row>
    <row r="80" spans="1:3">
      <c r="A80" s="3" t="s">
        <v>37</v>
      </c>
      <c r="B80" s="2" t="s">
        <v>33</v>
      </c>
      <c r="C80" s="4">
        <v>12939606</v>
      </c>
    </row>
    <row r="81" spans="1:43">
      <c r="A81" s="3" t="s">
        <v>37</v>
      </c>
      <c r="B81" s="2" t="s">
        <v>34</v>
      </c>
      <c r="C81" s="4">
        <v>569781205</v>
      </c>
    </row>
    <row r="82" spans="1:43">
      <c r="A82" s="3" t="s">
        <v>37</v>
      </c>
      <c r="B82" s="2" t="s">
        <v>35</v>
      </c>
      <c r="C82" s="4">
        <v>96963208</v>
      </c>
    </row>
    <row r="83" spans="1:43" s="8" customFormat="1">
      <c r="A83" s="5" t="s">
        <v>38</v>
      </c>
      <c r="B83" s="6" t="s">
        <v>9</v>
      </c>
      <c r="C83" s="7">
        <v>82764367</v>
      </c>
      <c r="AQ83" s="6"/>
    </row>
    <row r="84" spans="1:43">
      <c r="A84" s="3" t="s">
        <v>38</v>
      </c>
      <c r="B84" s="2" t="s">
        <v>10</v>
      </c>
      <c r="C84" s="4">
        <v>85146471</v>
      </c>
    </row>
    <row r="85" spans="1:43">
      <c r="A85" s="3" t="s">
        <v>38</v>
      </c>
      <c r="B85" s="2" t="s">
        <v>11</v>
      </c>
      <c r="C85" s="4">
        <v>55750486</v>
      </c>
    </row>
    <row r="86" spans="1:43">
      <c r="A86" s="3" t="s">
        <v>38</v>
      </c>
      <c r="B86" s="2" t="s">
        <v>12</v>
      </c>
      <c r="C86" s="4">
        <v>32455422</v>
      </c>
    </row>
    <row r="87" spans="1:43">
      <c r="A87" s="3" t="s">
        <v>38</v>
      </c>
      <c r="B87" s="2" t="s">
        <v>13</v>
      </c>
      <c r="C87" s="4">
        <v>8646821</v>
      </c>
    </row>
    <row r="88" spans="1:43">
      <c r="A88" s="3" t="s">
        <v>38</v>
      </c>
      <c r="B88" s="2" t="s">
        <v>14</v>
      </c>
      <c r="C88" s="4">
        <v>96759108</v>
      </c>
    </row>
    <row r="89" spans="1:43">
      <c r="A89" s="3" t="s">
        <v>38</v>
      </c>
      <c r="B89" s="2" t="s">
        <v>15</v>
      </c>
      <c r="C89" s="4">
        <v>60888907</v>
      </c>
    </row>
    <row r="90" spans="1:43">
      <c r="A90" s="3" t="s">
        <v>38</v>
      </c>
      <c r="B90" s="2" t="s">
        <v>16</v>
      </c>
      <c r="C90" s="4">
        <v>4599914</v>
      </c>
    </row>
    <row r="91" spans="1:43">
      <c r="A91" s="3" t="s">
        <v>38</v>
      </c>
      <c r="B91" s="2" t="s">
        <v>17</v>
      </c>
      <c r="C91" s="4">
        <v>99224404</v>
      </c>
    </row>
    <row r="92" spans="1:43">
      <c r="A92" s="3" t="s">
        <v>38</v>
      </c>
      <c r="B92" s="2" t="s">
        <v>18</v>
      </c>
      <c r="C92" s="4">
        <v>600147170</v>
      </c>
    </row>
    <row r="93" spans="1:43">
      <c r="A93" s="3" t="s">
        <v>38</v>
      </c>
      <c r="B93" s="2" t="s">
        <v>19</v>
      </c>
      <c r="C93" s="4">
        <v>872405804</v>
      </c>
    </row>
    <row r="94" spans="1:43">
      <c r="A94" s="3" t="s">
        <v>38</v>
      </c>
      <c r="B94" s="2" t="s">
        <v>20</v>
      </c>
      <c r="C94" s="4">
        <v>138645153</v>
      </c>
    </row>
    <row r="95" spans="1:43">
      <c r="A95" s="3" t="s">
        <v>38</v>
      </c>
      <c r="B95" s="2" t="s">
        <v>21</v>
      </c>
      <c r="C95" s="4">
        <v>75746290</v>
      </c>
    </row>
    <row r="96" spans="1:43">
      <c r="A96" s="3" t="s">
        <v>38</v>
      </c>
      <c r="B96" s="2" t="s">
        <v>22</v>
      </c>
      <c r="C96" s="4">
        <v>45688328</v>
      </c>
    </row>
    <row r="97" spans="1:43">
      <c r="A97" s="3" t="s">
        <v>38</v>
      </c>
      <c r="B97" s="2" t="s">
        <v>23</v>
      </c>
      <c r="C97" s="4">
        <v>561288464</v>
      </c>
    </row>
    <row r="98" spans="1:43">
      <c r="A98" s="3" t="s">
        <v>38</v>
      </c>
      <c r="B98" s="2" t="s">
        <v>24</v>
      </c>
      <c r="C98" s="4">
        <v>11207348</v>
      </c>
    </row>
    <row r="99" spans="1:43">
      <c r="A99" s="3" t="s">
        <v>38</v>
      </c>
      <c r="B99" s="2" t="s">
        <v>25</v>
      </c>
      <c r="C99" s="4">
        <v>27850422</v>
      </c>
    </row>
    <row r="100" spans="1:43">
      <c r="A100" s="3" t="s">
        <v>38</v>
      </c>
      <c r="B100" s="2" t="s">
        <v>26</v>
      </c>
      <c r="C100" s="4">
        <v>4557205</v>
      </c>
    </row>
    <row r="101" spans="1:43">
      <c r="A101" s="3" t="s">
        <v>38</v>
      </c>
      <c r="B101" s="2" t="s">
        <v>27</v>
      </c>
      <c r="C101" s="4">
        <v>4326453</v>
      </c>
    </row>
    <row r="102" spans="1:43">
      <c r="A102" s="3" t="s">
        <v>38</v>
      </c>
      <c r="B102" s="2" t="s">
        <v>28</v>
      </c>
      <c r="C102" s="4">
        <v>161269276</v>
      </c>
    </row>
    <row r="103" spans="1:43">
      <c r="A103" s="3" t="s">
        <v>38</v>
      </c>
      <c r="B103" s="2" t="s">
        <v>29</v>
      </c>
      <c r="C103" s="4">
        <v>179783760</v>
      </c>
    </row>
    <row r="104" spans="1:43">
      <c r="A104" s="3" t="s">
        <v>38</v>
      </c>
      <c r="B104" s="2" t="s">
        <v>30</v>
      </c>
      <c r="C104" s="4">
        <v>128688274</v>
      </c>
    </row>
    <row r="105" spans="1:43">
      <c r="A105" s="3" t="s">
        <v>38</v>
      </c>
      <c r="B105" s="2" t="s">
        <v>31</v>
      </c>
      <c r="C105" s="4">
        <v>54915587</v>
      </c>
    </row>
    <row r="106" spans="1:43">
      <c r="A106" s="3" t="s">
        <v>38</v>
      </c>
      <c r="B106" s="2" t="s">
        <v>32</v>
      </c>
      <c r="C106" s="4">
        <v>29909117</v>
      </c>
    </row>
    <row r="107" spans="1:43">
      <c r="A107" s="3" t="s">
        <v>38</v>
      </c>
      <c r="B107" s="2" t="s">
        <v>33</v>
      </c>
      <c r="C107" s="4">
        <v>10172331</v>
      </c>
    </row>
    <row r="108" spans="1:43">
      <c r="A108" s="3" t="s">
        <v>38</v>
      </c>
      <c r="B108" s="2" t="s">
        <v>34</v>
      </c>
      <c r="C108" s="4">
        <v>943593573</v>
      </c>
    </row>
    <row r="109" spans="1:43">
      <c r="A109" s="3" t="s">
        <v>38</v>
      </c>
      <c r="B109" s="2" t="s">
        <v>35</v>
      </c>
      <c r="C109" s="4">
        <v>94912612</v>
      </c>
    </row>
    <row r="110" spans="1:43" s="8" customFormat="1">
      <c r="A110" s="5" t="s">
        <v>39</v>
      </c>
      <c r="B110" s="6" t="s">
        <v>9</v>
      </c>
      <c r="C110" s="7">
        <v>88421923</v>
      </c>
      <c r="AQ110" s="6"/>
    </row>
    <row r="111" spans="1:43">
      <c r="A111" s="3" t="s">
        <v>39</v>
      </c>
      <c r="B111" s="2" t="s">
        <v>10</v>
      </c>
      <c r="C111" s="4">
        <v>76167084</v>
      </c>
    </row>
    <row r="112" spans="1:43">
      <c r="A112" s="3" t="s">
        <v>39</v>
      </c>
      <c r="B112" s="2" t="s">
        <v>11</v>
      </c>
      <c r="C112" s="4">
        <v>46490726</v>
      </c>
    </row>
    <row r="113" spans="1:3">
      <c r="A113" s="3" t="s">
        <v>39</v>
      </c>
      <c r="B113" s="2" t="s">
        <v>12</v>
      </c>
      <c r="C113" s="4">
        <v>30164725</v>
      </c>
    </row>
    <row r="114" spans="1:3">
      <c r="A114" s="3" t="s">
        <v>39</v>
      </c>
      <c r="B114" s="2" t="s">
        <v>13</v>
      </c>
      <c r="C114" s="4">
        <v>7182815</v>
      </c>
    </row>
    <row r="115" spans="1:3">
      <c r="A115" s="3" t="s">
        <v>39</v>
      </c>
      <c r="B115" s="2" t="s">
        <v>14</v>
      </c>
      <c r="C115" s="4">
        <v>86563197</v>
      </c>
    </row>
    <row r="116" spans="1:3">
      <c r="A116" s="3" t="s">
        <v>39</v>
      </c>
      <c r="B116" s="2" t="s">
        <v>15</v>
      </c>
      <c r="C116" s="4">
        <v>58261721</v>
      </c>
    </row>
    <row r="117" spans="1:3">
      <c r="A117" s="3" t="s">
        <v>39</v>
      </c>
      <c r="B117" s="2" t="s">
        <v>16</v>
      </c>
      <c r="C117" s="4">
        <v>5713000</v>
      </c>
    </row>
    <row r="118" spans="1:3">
      <c r="A118" s="3" t="s">
        <v>39</v>
      </c>
      <c r="B118" s="2" t="s">
        <v>17</v>
      </c>
      <c r="C118" s="4">
        <v>61440541</v>
      </c>
    </row>
    <row r="119" spans="1:3">
      <c r="A119" s="3" t="s">
        <v>39</v>
      </c>
      <c r="B119" s="2" t="s">
        <v>18</v>
      </c>
      <c r="C119" s="4">
        <v>465450285</v>
      </c>
    </row>
    <row r="120" spans="1:3">
      <c r="A120" s="3" t="s">
        <v>39</v>
      </c>
      <c r="B120" s="2" t="s">
        <v>19</v>
      </c>
      <c r="C120" s="4">
        <v>841528063</v>
      </c>
    </row>
    <row r="121" spans="1:3">
      <c r="A121" s="3" t="s">
        <v>39</v>
      </c>
      <c r="B121" s="2" t="s">
        <v>20</v>
      </c>
      <c r="C121" s="4">
        <v>104777174</v>
      </c>
    </row>
    <row r="122" spans="1:3">
      <c r="A122" s="3" t="s">
        <v>39</v>
      </c>
      <c r="B122" s="2" t="s">
        <v>21</v>
      </c>
      <c r="C122" s="4">
        <v>31948010</v>
      </c>
    </row>
    <row r="123" spans="1:3">
      <c r="A123" s="3" t="s">
        <v>39</v>
      </c>
      <c r="B123" s="2" t="s">
        <v>22</v>
      </c>
      <c r="C123" s="4">
        <v>34739734</v>
      </c>
    </row>
    <row r="124" spans="1:3">
      <c r="A124" s="3" t="s">
        <v>39</v>
      </c>
      <c r="B124" s="2" t="s">
        <v>23</v>
      </c>
      <c r="C124" s="4">
        <v>510753692</v>
      </c>
    </row>
    <row r="125" spans="1:3">
      <c r="A125" s="3" t="s">
        <v>39</v>
      </c>
      <c r="B125" s="2" t="s">
        <v>24</v>
      </c>
      <c r="C125" s="4">
        <v>10025853</v>
      </c>
    </row>
    <row r="126" spans="1:3">
      <c r="A126" s="3" t="s">
        <v>39</v>
      </c>
      <c r="B126" s="2" t="s">
        <v>25</v>
      </c>
      <c r="C126" s="4">
        <v>19731448</v>
      </c>
    </row>
    <row r="127" spans="1:3">
      <c r="A127" s="3" t="s">
        <v>39</v>
      </c>
      <c r="B127" s="2" t="s">
        <v>26</v>
      </c>
      <c r="C127" s="4">
        <v>4051681</v>
      </c>
    </row>
    <row r="128" spans="1:3">
      <c r="A128" s="3" t="s">
        <v>39</v>
      </c>
      <c r="B128" s="2" t="s">
        <v>27</v>
      </c>
      <c r="C128" s="4">
        <v>3623198</v>
      </c>
    </row>
    <row r="129" spans="1:43">
      <c r="A129" s="3" t="s">
        <v>39</v>
      </c>
      <c r="B129" s="2" t="s">
        <v>28</v>
      </c>
      <c r="C129" s="4">
        <v>160889869</v>
      </c>
    </row>
    <row r="130" spans="1:43">
      <c r="A130" s="3" t="s">
        <v>39</v>
      </c>
      <c r="B130" s="2" t="s">
        <v>29</v>
      </c>
      <c r="C130" s="4">
        <v>168061822</v>
      </c>
    </row>
    <row r="131" spans="1:43">
      <c r="A131" s="3" t="s">
        <v>39</v>
      </c>
      <c r="B131" s="2" t="s">
        <v>30</v>
      </c>
      <c r="C131" s="4">
        <v>131167764</v>
      </c>
    </row>
    <row r="132" spans="1:43">
      <c r="A132" s="3" t="s">
        <v>39</v>
      </c>
      <c r="B132" s="2" t="s">
        <v>31</v>
      </c>
      <c r="C132" s="4">
        <v>49261360</v>
      </c>
    </row>
    <row r="133" spans="1:43">
      <c r="A133" s="3" t="s">
        <v>39</v>
      </c>
      <c r="B133" s="2" t="s">
        <v>32</v>
      </c>
      <c r="C133" s="4">
        <v>23161543</v>
      </c>
    </row>
    <row r="134" spans="1:43">
      <c r="A134" s="3" t="s">
        <v>39</v>
      </c>
      <c r="B134" s="2" t="s">
        <v>33</v>
      </c>
      <c r="C134" s="4">
        <v>9718066</v>
      </c>
    </row>
    <row r="135" spans="1:43">
      <c r="A135" s="3" t="s">
        <v>39</v>
      </c>
      <c r="B135" s="2" t="s">
        <v>34</v>
      </c>
      <c r="C135" s="4">
        <v>985972440</v>
      </c>
    </row>
    <row r="136" spans="1:43">
      <c r="A136" s="3" t="s">
        <v>39</v>
      </c>
      <c r="B136" s="2" t="s">
        <v>35</v>
      </c>
      <c r="C136" s="4">
        <v>81281216</v>
      </c>
    </row>
    <row r="137" spans="1:43" s="8" customFormat="1">
      <c r="A137" s="5" t="s">
        <v>40</v>
      </c>
      <c r="B137" s="6" t="s">
        <v>9</v>
      </c>
      <c r="C137" s="7">
        <v>54313640</v>
      </c>
      <c r="AQ137" s="6"/>
    </row>
    <row r="138" spans="1:43">
      <c r="A138" s="3" t="s">
        <v>40</v>
      </c>
      <c r="B138" s="2" t="s">
        <v>10</v>
      </c>
      <c r="C138" s="4">
        <v>80778170</v>
      </c>
    </row>
    <row r="139" spans="1:43">
      <c r="A139" s="3" t="s">
        <v>40</v>
      </c>
      <c r="B139" s="2" t="s">
        <v>11</v>
      </c>
      <c r="C139" s="4">
        <v>45187100</v>
      </c>
    </row>
    <row r="140" spans="1:43">
      <c r="A140" s="3" t="s">
        <v>40</v>
      </c>
      <c r="B140" s="2" t="s">
        <v>12</v>
      </c>
      <c r="C140" s="4">
        <v>35340571</v>
      </c>
    </row>
    <row r="141" spans="1:43">
      <c r="A141" s="3" t="s">
        <v>40</v>
      </c>
      <c r="B141" s="2" t="s">
        <v>13</v>
      </c>
      <c r="C141" s="4">
        <v>21579342</v>
      </c>
    </row>
    <row r="142" spans="1:43">
      <c r="A142" s="3" t="s">
        <v>40</v>
      </c>
      <c r="B142" s="2" t="s">
        <v>14</v>
      </c>
      <c r="C142" s="4">
        <v>86725442</v>
      </c>
    </row>
    <row r="143" spans="1:43">
      <c r="A143" s="3" t="s">
        <v>40</v>
      </c>
      <c r="B143" s="2" t="s">
        <v>15</v>
      </c>
      <c r="C143" s="4">
        <v>65605299</v>
      </c>
    </row>
    <row r="144" spans="1:43">
      <c r="A144" s="3" t="s">
        <v>40</v>
      </c>
      <c r="B144" s="2" t="s">
        <v>16</v>
      </c>
      <c r="C144" s="4">
        <v>5356099</v>
      </c>
    </row>
    <row r="145" spans="1:3">
      <c r="A145" s="3" t="s">
        <v>40</v>
      </c>
      <c r="B145" s="2" t="s">
        <v>17</v>
      </c>
      <c r="C145" s="4">
        <v>71203758</v>
      </c>
    </row>
    <row r="146" spans="1:3">
      <c r="A146" s="3" t="s">
        <v>40</v>
      </c>
      <c r="B146" s="2" t="s">
        <v>18</v>
      </c>
      <c r="C146" s="4">
        <v>578687532</v>
      </c>
    </row>
    <row r="147" spans="1:3">
      <c r="A147" s="3" t="s">
        <v>40</v>
      </c>
      <c r="B147" s="2" t="s">
        <v>19</v>
      </c>
      <c r="C147" s="4">
        <v>687663253</v>
      </c>
    </row>
    <row r="148" spans="1:3">
      <c r="A148" s="3" t="s">
        <v>40</v>
      </c>
      <c r="B148" s="2" t="s">
        <v>20</v>
      </c>
      <c r="C148" s="4">
        <v>56391643</v>
      </c>
    </row>
    <row r="149" spans="1:3">
      <c r="A149" s="3" t="s">
        <v>40</v>
      </c>
      <c r="B149" s="2" t="s">
        <v>21</v>
      </c>
      <c r="C149" s="4">
        <v>49136094</v>
      </c>
    </row>
    <row r="150" spans="1:3">
      <c r="A150" s="3" t="s">
        <v>40</v>
      </c>
      <c r="B150" s="2" t="s">
        <v>22</v>
      </c>
      <c r="C150" s="4">
        <v>54732934</v>
      </c>
    </row>
    <row r="151" spans="1:3">
      <c r="A151" s="3" t="s">
        <v>40</v>
      </c>
      <c r="B151" s="2" t="s">
        <v>23</v>
      </c>
      <c r="C151" s="4">
        <v>521977024</v>
      </c>
    </row>
    <row r="152" spans="1:3">
      <c r="A152" s="3" t="s">
        <v>40</v>
      </c>
      <c r="B152" s="2" t="s">
        <v>24</v>
      </c>
      <c r="C152" s="4">
        <v>13298392</v>
      </c>
    </row>
    <row r="153" spans="1:3">
      <c r="A153" s="3" t="s">
        <v>40</v>
      </c>
      <c r="B153" s="2" t="s">
        <v>25</v>
      </c>
      <c r="C153" s="4">
        <v>20434840</v>
      </c>
    </row>
    <row r="154" spans="1:3">
      <c r="A154" s="3" t="s">
        <v>40</v>
      </c>
      <c r="B154" s="2" t="s">
        <v>26</v>
      </c>
      <c r="C154" s="4">
        <v>4700153</v>
      </c>
    </row>
    <row r="155" spans="1:3">
      <c r="A155" s="3" t="s">
        <v>40</v>
      </c>
      <c r="B155" s="2" t="s">
        <v>27</v>
      </c>
      <c r="C155" s="4">
        <v>2258896</v>
      </c>
    </row>
    <row r="156" spans="1:3">
      <c r="A156" s="3" t="s">
        <v>40</v>
      </c>
      <c r="B156" s="2" t="s">
        <v>28</v>
      </c>
      <c r="C156" s="4">
        <v>127317657</v>
      </c>
    </row>
    <row r="157" spans="1:3">
      <c r="A157" s="3" t="s">
        <v>40</v>
      </c>
      <c r="B157" s="2" t="s">
        <v>29</v>
      </c>
      <c r="C157" s="4">
        <v>203577478</v>
      </c>
    </row>
    <row r="158" spans="1:3">
      <c r="A158" s="3" t="s">
        <v>40</v>
      </c>
      <c r="B158" s="2" t="s">
        <v>30</v>
      </c>
      <c r="C158" s="4">
        <v>130209780</v>
      </c>
    </row>
    <row r="159" spans="1:3">
      <c r="A159" s="3" t="s">
        <v>40</v>
      </c>
      <c r="B159" s="2" t="s">
        <v>31</v>
      </c>
      <c r="C159" s="4">
        <v>53207491</v>
      </c>
    </row>
    <row r="160" spans="1:3">
      <c r="A160" s="3" t="s">
        <v>40</v>
      </c>
      <c r="B160" s="2" t="s">
        <v>32</v>
      </c>
      <c r="C160" s="4">
        <v>25149840</v>
      </c>
    </row>
    <row r="161" spans="1:45">
      <c r="A161" s="3" t="s">
        <v>40</v>
      </c>
      <c r="B161" s="2" t="s">
        <v>33</v>
      </c>
      <c r="C161" s="4">
        <v>14919327</v>
      </c>
    </row>
    <row r="162" spans="1:45">
      <c r="A162" s="3" t="s">
        <v>40</v>
      </c>
      <c r="B162" s="2" t="s">
        <v>34</v>
      </c>
      <c r="C162" s="4">
        <v>1083614119</v>
      </c>
    </row>
    <row r="163" spans="1:45">
      <c r="A163" s="3" t="s">
        <v>40</v>
      </c>
      <c r="B163" s="2" t="s">
        <v>35</v>
      </c>
      <c r="C163" s="4">
        <v>76249781</v>
      </c>
    </row>
    <row r="164" spans="1:45" s="8" customFormat="1">
      <c r="A164" s="5" t="s">
        <v>41</v>
      </c>
      <c r="B164" s="6" t="s">
        <v>9</v>
      </c>
      <c r="C164" s="7">
        <v>17171583</v>
      </c>
      <c r="D164" s="7">
        <f>C164+1000000*new_building_eurostat!$L12</f>
        <v>26231583</v>
      </c>
      <c r="E164" s="7">
        <f>D164+1000000*new_building_eurostat!$L12</f>
        <v>35291583</v>
      </c>
      <c r="F164" s="7">
        <f>E164+1000000*new_building_eurostat!$L12</f>
        <v>44351583</v>
      </c>
      <c r="G164" s="7">
        <f>F164+1000000*new_building_eurostat!$L12</f>
        <v>53411583</v>
      </c>
      <c r="H164" s="7">
        <f>G164+1000000*new_building_eurostat!$L12</f>
        <v>62471583</v>
      </c>
      <c r="I164" s="7">
        <f>H164+1000000*new_building_eurostat!$L12</f>
        <v>71531583</v>
      </c>
      <c r="J164" s="7">
        <f>I164+1000000*new_building_eurostat!$L12</f>
        <v>80591583</v>
      </c>
      <c r="K164" s="7">
        <f>J164+1000000*new_building_eurostat!$L12</f>
        <v>89651583</v>
      </c>
      <c r="L164" s="7">
        <f>K164+1000000*new_building_eurostat!$L12</f>
        <v>98711583</v>
      </c>
      <c r="M164" s="7">
        <f>L164+1000000*new_building_eurostat!$L12</f>
        <v>107771583</v>
      </c>
      <c r="N164" s="7">
        <f>M164+1000000*new_building_eurostat!$L12</f>
        <v>116831583</v>
      </c>
      <c r="O164" s="7">
        <f>N164+1000000*new_building_eurostat!$L12</f>
        <v>125891583</v>
      </c>
      <c r="P164" s="7">
        <f>O164+1000000*new_building_eurostat!$L12</f>
        <v>134951583</v>
      </c>
      <c r="Q164" s="7">
        <f>P164+1000000*new_building_eurostat!$L12</f>
        <v>144011583</v>
      </c>
      <c r="R164" s="7">
        <f>Q164+1000000*new_building_eurostat!$L12</f>
        <v>153071583</v>
      </c>
      <c r="S164" s="7">
        <f>R164+1000000*new_building_eurostat!$L12</f>
        <v>162131583</v>
      </c>
      <c r="T164" s="7">
        <f>S164+1000000*new_building_eurostat!$L12</f>
        <v>171191583</v>
      </c>
      <c r="U164" s="7">
        <f>T164+1000000*new_building_eurostat!$L12</f>
        <v>180251583</v>
      </c>
      <c r="V164" s="7">
        <f>U164+1000000*new_building_eurostat!$L12</f>
        <v>189311583</v>
      </c>
      <c r="W164" s="7">
        <f>V164+1000000*new_building_eurostat!$L12</f>
        <v>198371583</v>
      </c>
      <c r="X164" s="7">
        <f>W164+1000000*new_building_eurostat!$L12</f>
        <v>207431583</v>
      </c>
      <c r="Y164" s="7">
        <f>X164+1000000*new_building_eurostat!$L12</f>
        <v>216491583</v>
      </c>
      <c r="Z164" s="7">
        <f>Y164+1000000*new_building_eurostat!$L12</f>
        <v>225551583</v>
      </c>
      <c r="AA164" s="7">
        <f>Z164+1000000*new_building_eurostat!$L12</f>
        <v>234611583</v>
      </c>
      <c r="AB164" s="7">
        <f>AA164+1000000*new_building_eurostat!$L12</f>
        <v>243671583</v>
      </c>
      <c r="AC164" s="7">
        <f>AB164+1000000*new_building_eurostat!$L12</f>
        <v>252731583</v>
      </c>
      <c r="AD164" s="7">
        <f>AC164+1000000*new_building_eurostat!$L12</f>
        <v>261791583</v>
      </c>
      <c r="AE164" s="7">
        <f>AD164+1000000*new_building_eurostat!$L12</f>
        <v>270851583</v>
      </c>
      <c r="AF164" s="7">
        <f>AE164+1000000*new_building_eurostat!$L12</f>
        <v>279911583</v>
      </c>
      <c r="AG164" s="7">
        <f>AF164+1000000*new_building_eurostat!$L12</f>
        <v>288971583</v>
      </c>
      <c r="AH164" s="7">
        <f>AG164+1000000*new_building_eurostat!$L12</f>
        <v>298031583</v>
      </c>
      <c r="AI164" s="7">
        <f>AH164+1000000*new_building_eurostat!$L12</f>
        <v>307091583</v>
      </c>
      <c r="AJ164" s="7">
        <f>AI164+1000000*new_building_eurostat!$L12</f>
        <v>316151583</v>
      </c>
      <c r="AK164" s="7">
        <f>AJ164+1000000*new_building_eurostat!$L12</f>
        <v>325211583</v>
      </c>
      <c r="AL164" s="7">
        <f>AK164+1000000*new_building_eurostat!$L12</f>
        <v>334271583</v>
      </c>
      <c r="AM164" s="7">
        <f>AL164+1000000*new_building_eurostat!$L12</f>
        <v>343331583</v>
      </c>
      <c r="AN164" s="7">
        <f>AM164+1000000*new_building_eurostat!$L12</f>
        <v>352391583</v>
      </c>
      <c r="AO164" s="7">
        <f>AN164+1000000*new_building_eurostat!$L12</f>
        <v>361451583</v>
      </c>
      <c r="AP164" s="7">
        <f>AO164+1000000*new_building_eurostat!$L12</f>
        <v>370511583</v>
      </c>
      <c r="AQ164" s="29">
        <f>AP164+1000000*new_building_eurostat!$L12</f>
        <v>379571583</v>
      </c>
      <c r="AS164" s="7">
        <f>SUM(C164, C137,C110,C83,C56,C29,C2)</f>
        <v>645587790</v>
      </c>
    </row>
    <row r="165" spans="1:45">
      <c r="A165" s="3" t="s">
        <v>41</v>
      </c>
      <c r="B165" s="2" t="s">
        <v>10</v>
      </c>
      <c r="C165" s="4">
        <v>30767106</v>
      </c>
      <c r="D165" s="7">
        <f>C165+1000000*new_building_eurostat!$L13</f>
        <v>46507106</v>
      </c>
      <c r="E165" s="7">
        <f>D165+1000000*new_building_eurostat!$L13</f>
        <v>62247106</v>
      </c>
      <c r="F165" s="7">
        <f>E165+1000000*new_building_eurostat!$L13</f>
        <v>77987106</v>
      </c>
      <c r="G165" s="7">
        <f>F165+1000000*new_building_eurostat!$L13</f>
        <v>93727106</v>
      </c>
      <c r="H165" s="7">
        <f>G165+1000000*new_building_eurostat!$L13</f>
        <v>109467106</v>
      </c>
      <c r="I165" s="7">
        <f>H165+1000000*new_building_eurostat!$L13</f>
        <v>125207106</v>
      </c>
      <c r="J165" s="7">
        <f>I165+1000000*new_building_eurostat!$L13</f>
        <v>140947106</v>
      </c>
      <c r="K165" s="7">
        <f>J165+1000000*new_building_eurostat!$L13</f>
        <v>156687106</v>
      </c>
      <c r="L165" s="7">
        <f>K165+1000000*new_building_eurostat!$L13</f>
        <v>172427106</v>
      </c>
      <c r="M165" s="7">
        <f>L165+1000000*new_building_eurostat!$L13</f>
        <v>188167106</v>
      </c>
      <c r="N165" s="7">
        <f>M165+1000000*new_building_eurostat!$L13</f>
        <v>203907106</v>
      </c>
      <c r="O165" s="7">
        <f>N165+1000000*new_building_eurostat!$L13</f>
        <v>219647106</v>
      </c>
      <c r="P165" s="7">
        <f>O165+1000000*new_building_eurostat!$L13</f>
        <v>235387106</v>
      </c>
      <c r="Q165" s="7">
        <f>P165+1000000*new_building_eurostat!$L13</f>
        <v>251127106</v>
      </c>
      <c r="R165" s="7">
        <f>Q165+1000000*new_building_eurostat!$L13</f>
        <v>266867106</v>
      </c>
      <c r="S165" s="7">
        <f>R165+1000000*new_building_eurostat!$L13</f>
        <v>282607106</v>
      </c>
      <c r="T165" s="7">
        <f>S165+1000000*new_building_eurostat!$L13</f>
        <v>298347106</v>
      </c>
      <c r="U165" s="7">
        <f>T165+1000000*new_building_eurostat!$L13</f>
        <v>314087106</v>
      </c>
      <c r="V165" s="7">
        <f>U165+1000000*new_building_eurostat!$L13</f>
        <v>329827106</v>
      </c>
      <c r="W165" s="7">
        <f>V165+1000000*new_building_eurostat!$L13</f>
        <v>345567106</v>
      </c>
      <c r="X165" s="7">
        <f>W165+1000000*new_building_eurostat!$L13</f>
        <v>361307106</v>
      </c>
      <c r="Y165" s="7">
        <f>X165+1000000*new_building_eurostat!$L13</f>
        <v>377047106</v>
      </c>
      <c r="Z165" s="7">
        <f>Y165+1000000*new_building_eurostat!$L13</f>
        <v>392787106</v>
      </c>
      <c r="AA165" s="7">
        <f>Z165+1000000*new_building_eurostat!$L13</f>
        <v>408527106</v>
      </c>
      <c r="AB165" s="7">
        <f>AA165+1000000*new_building_eurostat!$L13</f>
        <v>424267106</v>
      </c>
      <c r="AC165" s="7">
        <f>AB165+1000000*new_building_eurostat!$L13</f>
        <v>440007106</v>
      </c>
      <c r="AD165" s="7">
        <f>AC165+1000000*new_building_eurostat!$L13</f>
        <v>455747106</v>
      </c>
      <c r="AE165" s="7">
        <f>AD165+1000000*new_building_eurostat!$L13</f>
        <v>471487106</v>
      </c>
      <c r="AF165" s="7">
        <f>AE165+1000000*new_building_eurostat!$L13</f>
        <v>487227106</v>
      </c>
      <c r="AG165" s="7">
        <f>AF165+1000000*new_building_eurostat!$L13</f>
        <v>502967106</v>
      </c>
      <c r="AH165" s="7">
        <f>AG165+1000000*new_building_eurostat!$L13</f>
        <v>518707106</v>
      </c>
      <c r="AI165" s="7">
        <f>AH165+1000000*new_building_eurostat!$L13</f>
        <v>534447106</v>
      </c>
      <c r="AJ165" s="7">
        <f>AI165+1000000*new_building_eurostat!$L13</f>
        <v>550187106</v>
      </c>
      <c r="AK165" s="7">
        <f>AJ165+1000000*new_building_eurostat!$L13</f>
        <v>565927106</v>
      </c>
      <c r="AL165" s="7">
        <f>AK165+1000000*new_building_eurostat!$L13</f>
        <v>581667106</v>
      </c>
      <c r="AM165" s="7">
        <f>AL165+1000000*new_building_eurostat!$L13</f>
        <v>597407106</v>
      </c>
      <c r="AN165" s="7">
        <f>AM165+1000000*new_building_eurostat!$L13</f>
        <v>613147106</v>
      </c>
      <c r="AO165" s="7">
        <f>AN165+1000000*new_building_eurostat!$L13</f>
        <v>628887106</v>
      </c>
      <c r="AP165" s="7">
        <f>AO165+1000000*new_building_eurostat!$L13</f>
        <v>644627106</v>
      </c>
      <c r="AQ165" s="29">
        <f>AP165+1000000*new_building_eurostat!$L13</f>
        <v>660367106</v>
      </c>
      <c r="AS165" s="7">
        <f>SUM(C165, C138,C111,C84,C57,C30,C3)</f>
        <v>922861673</v>
      </c>
    </row>
    <row r="166" spans="1:45">
      <c r="A166" s="3" t="s">
        <v>41</v>
      </c>
      <c r="B166" s="2" t="s">
        <v>11</v>
      </c>
      <c r="C166" s="4">
        <v>27057324</v>
      </c>
      <c r="D166" s="7">
        <f>C166+1000000*new_building_eurostat!$L14</f>
        <v>35017324</v>
      </c>
      <c r="E166" s="7">
        <f>D166+1000000*new_building_eurostat!$L14</f>
        <v>42977324</v>
      </c>
      <c r="F166" s="7">
        <f>E166+1000000*new_building_eurostat!$L14</f>
        <v>50937324</v>
      </c>
      <c r="G166" s="7">
        <f>F166+1000000*new_building_eurostat!$L14</f>
        <v>58897324</v>
      </c>
      <c r="H166" s="7">
        <f>G166+1000000*new_building_eurostat!$L14</f>
        <v>66857324</v>
      </c>
      <c r="I166" s="7">
        <f>H166+1000000*new_building_eurostat!$L14</f>
        <v>74817324</v>
      </c>
      <c r="J166" s="7">
        <f>I166+1000000*new_building_eurostat!$L14</f>
        <v>82777324</v>
      </c>
      <c r="K166" s="7">
        <f>J166+1000000*new_building_eurostat!$L14</f>
        <v>90737324</v>
      </c>
      <c r="L166" s="7">
        <f>K166+1000000*new_building_eurostat!$L14</f>
        <v>98697324</v>
      </c>
      <c r="M166" s="7">
        <f>L166+1000000*new_building_eurostat!$L14</f>
        <v>106657324</v>
      </c>
      <c r="N166" s="7">
        <f>M166+1000000*new_building_eurostat!$L14</f>
        <v>114617324</v>
      </c>
      <c r="O166" s="7">
        <f>N166+1000000*new_building_eurostat!$L14</f>
        <v>122577324</v>
      </c>
      <c r="P166" s="7">
        <f>O166+1000000*new_building_eurostat!$L14</f>
        <v>130537324</v>
      </c>
      <c r="Q166" s="7">
        <f>P166+1000000*new_building_eurostat!$L14</f>
        <v>138497324</v>
      </c>
      <c r="R166" s="7">
        <f>Q166+1000000*new_building_eurostat!$L14</f>
        <v>146457324</v>
      </c>
      <c r="S166" s="7">
        <f>R166+1000000*new_building_eurostat!$L14</f>
        <v>154417324</v>
      </c>
      <c r="T166" s="7">
        <f>S166+1000000*new_building_eurostat!$L14</f>
        <v>162377324</v>
      </c>
      <c r="U166" s="7">
        <f>T166+1000000*new_building_eurostat!$L14</f>
        <v>170337324</v>
      </c>
      <c r="V166" s="7">
        <f>U166+1000000*new_building_eurostat!$L14</f>
        <v>178297324</v>
      </c>
      <c r="W166" s="7">
        <f>V166+1000000*new_building_eurostat!$L14</f>
        <v>186257324</v>
      </c>
      <c r="X166" s="7">
        <f>W166+1000000*new_building_eurostat!$L14</f>
        <v>194217324</v>
      </c>
      <c r="Y166" s="7">
        <f>X166+1000000*new_building_eurostat!$L14</f>
        <v>202177324</v>
      </c>
      <c r="Z166" s="7">
        <f>Y166+1000000*new_building_eurostat!$L14</f>
        <v>210137324</v>
      </c>
      <c r="AA166" s="7">
        <f>Z166+1000000*new_building_eurostat!$L14</f>
        <v>218097324</v>
      </c>
      <c r="AB166" s="7">
        <f>AA166+1000000*new_building_eurostat!$L14</f>
        <v>226057324</v>
      </c>
      <c r="AC166" s="7">
        <f>AB166+1000000*new_building_eurostat!$L14</f>
        <v>234017324</v>
      </c>
      <c r="AD166" s="7">
        <f>AC166+1000000*new_building_eurostat!$L14</f>
        <v>241977324</v>
      </c>
      <c r="AE166" s="7">
        <f>AD166+1000000*new_building_eurostat!$L14</f>
        <v>249937324</v>
      </c>
      <c r="AF166" s="7">
        <f>AE166+1000000*new_building_eurostat!$L14</f>
        <v>257897324</v>
      </c>
      <c r="AG166" s="7">
        <f>AF166+1000000*new_building_eurostat!$L14</f>
        <v>265857324</v>
      </c>
      <c r="AH166" s="7">
        <f>AG166+1000000*new_building_eurostat!$L14</f>
        <v>273817324</v>
      </c>
      <c r="AI166" s="7">
        <f>AH166+1000000*new_building_eurostat!$L14</f>
        <v>281777324</v>
      </c>
      <c r="AJ166" s="7">
        <f>AI166+1000000*new_building_eurostat!$L14</f>
        <v>289737324</v>
      </c>
      <c r="AK166" s="7">
        <f>AJ166+1000000*new_building_eurostat!$L14</f>
        <v>297697324</v>
      </c>
      <c r="AL166" s="7">
        <f>AK166+1000000*new_building_eurostat!$L14</f>
        <v>305657324</v>
      </c>
      <c r="AM166" s="7">
        <f>AL166+1000000*new_building_eurostat!$L14</f>
        <v>313617324</v>
      </c>
      <c r="AN166" s="7">
        <f>AM166+1000000*new_building_eurostat!$L14</f>
        <v>321577324</v>
      </c>
      <c r="AO166" s="7">
        <f>AN166+1000000*new_building_eurostat!$L14</f>
        <v>329537324</v>
      </c>
      <c r="AP166" s="7">
        <f>AO166+1000000*new_building_eurostat!$L14</f>
        <v>337497324</v>
      </c>
      <c r="AQ166" s="29">
        <f>AP166+1000000*new_building_eurostat!$L14</f>
        <v>345457324</v>
      </c>
      <c r="AS166" s="7">
        <f t="shared" ref="AS166:AS190" si="6">SUM(C166, C139,C112,C85,C58,C31,C4)</f>
        <v>411076575</v>
      </c>
    </row>
    <row r="167" spans="1:45">
      <c r="A167" s="3" t="s">
        <v>41</v>
      </c>
      <c r="B167" s="2" t="s">
        <v>12</v>
      </c>
      <c r="C167" s="4">
        <v>18298503</v>
      </c>
      <c r="D167" s="7">
        <f>C167+1000000*new_building_eurostat!$L15</f>
        <v>21738503</v>
      </c>
      <c r="E167" s="7">
        <f>D167+1000000*new_building_eurostat!$L15</f>
        <v>25178503</v>
      </c>
      <c r="F167" s="7">
        <f>E167+1000000*new_building_eurostat!$L15</f>
        <v>28618503</v>
      </c>
      <c r="G167" s="7">
        <f>F167+1000000*new_building_eurostat!$L15</f>
        <v>32058503</v>
      </c>
      <c r="H167" s="7">
        <f>G167+1000000*new_building_eurostat!$L15</f>
        <v>35498503</v>
      </c>
      <c r="I167" s="7">
        <f>H167+1000000*new_building_eurostat!$L15</f>
        <v>38938503</v>
      </c>
      <c r="J167" s="7">
        <f>I167+1000000*new_building_eurostat!$L15</f>
        <v>42378503</v>
      </c>
      <c r="K167" s="7">
        <f>J167+1000000*new_building_eurostat!$L15</f>
        <v>45818503</v>
      </c>
      <c r="L167" s="7">
        <f>K167+1000000*new_building_eurostat!$L15</f>
        <v>49258503</v>
      </c>
      <c r="M167" s="7">
        <f>L167+1000000*new_building_eurostat!$L15</f>
        <v>52698503</v>
      </c>
      <c r="N167" s="7">
        <f>M167+1000000*new_building_eurostat!$L15</f>
        <v>56138503</v>
      </c>
      <c r="O167" s="7">
        <f>N167+1000000*new_building_eurostat!$L15</f>
        <v>59578503</v>
      </c>
      <c r="P167" s="7">
        <f>O167+1000000*new_building_eurostat!$L15</f>
        <v>63018503</v>
      </c>
      <c r="Q167" s="7">
        <f>P167+1000000*new_building_eurostat!$L15</f>
        <v>66458503</v>
      </c>
      <c r="R167" s="7">
        <f>Q167+1000000*new_building_eurostat!$L15</f>
        <v>69898503</v>
      </c>
      <c r="S167" s="7">
        <f>R167+1000000*new_building_eurostat!$L15</f>
        <v>73338503</v>
      </c>
      <c r="T167" s="7">
        <f>S167+1000000*new_building_eurostat!$L15</f>
        <v>76778503</v>
      </c>
      <c r="U167" s="7">
        <f>T167+1000000*new_building_eurostat!$L15</f>
        <v>80218503</v>
      </c>
      <c r="V167" s="7">
        <f>U167+1000000*new_building_eurostat!$L15</f>
        <v>83658503</v>
      </c>
      <c r="W167" s="7">
        <f>V167+1000000*new_building_eurostat!$L15</f>
        <v>87098503</v>
      </c>
      <c r="X167" s="7">
        <f>W167+1000000*new_building_eurostat!$L15</f>
        <v>90538503</v>
      </c>
      <c r="Y167" s="7">
        <f>X167+1000000*new_building_eurostat!$L15</f>
        <v>93978503</v>
      </c>
      <c r="Z167" s="7">
        <f>Y167+1000000*new_building_eurostat!$L15</f>
        <v>97418503</v>
      </c>
      <c r="AA167" s="7">
        <f>Z167+1000000*new_building_eurostat!$L15</f>
        <v>100858503</v>
      </c>
      <c r="AB167" s="7">
        <f>AA167+1000000*new_building_eurostat!$L15</f>
        <v>104298503</v>
      </c>
      <c r="AC167" s="7">
        <f>AB167+1000000*new_building_eurostat!$L15</f>
        <v>107738503</v>
      </c>
      <c r="AD167" s="7">
        <f>AC167+1000000*new_building_eurostat!$L15</f>
        <v>111178503</v>
      </c>
      <c r="AE167" s="7">
        <f>AD167+1000000*new_building_eurostat!$L15</f>
        <v>114618503</v>
      </c>
      <c r="AF167" s="7">
        <f>AE167+1000000*new_building_eurostat!$L15</f>
        <v>118058503</v>
      </c>
      <c r="AG167" s="7">
        <f>AF167+1000000*new_building_eurostat!$L15</f>
        <v>121498503</v>
      </c>
      <c r="AH167" s="7">
        <f>AG167+1000000*new_building_eurostat!$L15</f>
        <v>124938503</v>
      </c>
      <c r="AI167" s="7">
        <f>AH167+1000000*new_building_eurostat!$L15</f>
        <v>128378503</v>
      </c>
      <c r="AJ167" s="7">
        <f>AI167+1000000*new_building_eurostat!$L15</f>
        <v>131818503</v>
      </c>
      <c r="AK167" s="7">
        <f>AJ167+1000000*new_building_eurostat!$L15</f>
        <v>135258503</v>
      </c>
      <c r="AL167" s="7">
        <f>AK167+1000000*new_building_eurostat!$L15</f>
        <v>138698503</v>
      </c>
      <c r="AM167" s="7">
        <f>AL167+1000000*new_building_eurostat!$L15</f>
        <v>142138503</v>
      </c>
      <c r="AN167" s="7">
        <f>AM167+1000000*new_building_eurostat!$L15</f>
        <v>145578503</v>
      </c>
      <c r="AO167" s="7">
        <f>AN167+1000000*new_building_eurostat!$L15</f>
        <v>149018503</v>
      </c>
      <c r="AP167" s="7">
        <f>AO167+1000000*new_building_eurostat!$L15</f>
        <v>152458503</v>
      </c>
      <c r="AQ167" s="29">
        <f>AP167+1000000*new_building_eurostat!$L15</f>
        <v>155898503</v>
      </c>
      <c r="AS167" s="7">
        <f t="shared" si="6"/>
        <v>226678535</v>
      </c>
    </row>
    <row r="168" spans="1:45">
      <c r="A168" s="3" t="s">
        <v>41</v>
      </c>
      <c r="B168" s="2" t="s">
        <v>13</v>
      </c>
      <c r="C168" s="4">
        <v>10279271</v>
      </c>
      <c r="D168" s="7">
        <f>C168+1000000*new_building_eurostat!$L16</f>
        <v>12759271</v>
      </c>
      <c r="E168" s="7">
        <f>D168+1000000*new_building_eurostat!$L16</f>
        <v>15239271</v>
      </c>
      <c r="F168" s="7">
        <f>E168+1000000*new_building_eurostat!$L16</f>
        <v>17719271</v>
      </c>
      <c r="G168" s="7">
        <f>F168+1000000*new_building_eurostat!$L16</f>
        <v>20199271</v>
      </c>
      <c r="H168" s="7">
        <f>G168+1000000*new_building_eurostat!$L16</f>
        <v>22679271</v>
      </c>
      <c r="I168" s="7">
        <f>H168+1000000*new_building_eurostat!$L16</f>
        <v>25159271</v>
      </c>
      <c r="J168" s="7">
        <f>I168+1000000*new_building_eurostat!$L16</f>
        <v>27639271</v>
      </c>
      <c r="K168" s="7">
        <f>J168+1000000*new_building_eurostat!$L16</f>
        <v>30119271</v>
      </c>
      <c r="L168" s="7">
        <f>K168+1000000*new_building_eurostat!$L16</f>
        <v>32599271</v>
      </c>
      <c r="M168" s="7">
        <f>L168+1000000*new_building_eurostat!$L16</f>
        <v>35079271</v>
      </c>
      <c r="N168" s="7">
        <f>M168+1000000*new_building_eurostat!$L16</f>
        <v>37559271</v>
      </c>
      <c r="O168" s="7">
        <f>N168+1000000*new_building_eurostat!$L16</f>
        <v>40039271</v>
      </c>
      <c r="P168" s="7">
        <f>O168+1000000*new_building_eurostat!$L16</f>
        <v>42519271</v>
      </c>
      <c r="Q168" s="7">
        <f>P168+1000000*new_building_eurostat!$L16</f>
        <v>44999271</v>
      </c>
      <c r="R168" s="7">
        <f>Q168+1000000*new_building_eurostat!$L16</f>
        <v>47479271</v>
      </c>
      <c r="S168" s="7">
        <f>R168+1000000*new_building_eurostat!$L16</f>
        <v>49959271</v>
      </c>
      <c r="T168" s="7">
        <f>S168+1000000*new_building_eurostat!$L16</f>
        <v>52439271</v>
      </c>
      <c r="U168" s="7">
        <f>T168+1000000*new_building_eurostat!$L16</f>
        <v>54919271</v>
      </c>
      <c r="V168" s="7">
        <f>U168+1000000*new_building_eurostat!$L16</f>
        <v>57399271</v>
      </c>
      <c r="W168" s="7">
        <f>V168+1000000*new_building_eurostat!$L16</f>
        <v>59879271</v>
      </c>
      <c r="X168" s="7">
        <f>W168+1000000*new_building_eurostat!$L16</f>
        <v>62359271</v>
      </c>
      <c r="Y168" s="7">
        <f>X168+1000000*new_building_eurostat!$L16</f>
        <v>64839271</v>
      </c>
      <c r="Z168" s="7">
        <f>Y168+1000000*new_building_eurostat!$L16</f>
        <v>67319271</v>
      </c>
      <c r="AA168" s="7">
        <f>Z168+1000000*new_building_eurostat!$L16</f>
        <v>69799271</v>
      </c>
      <c r="AB168" s="7">
        <f>AA168+1000000*new_building_eurostat!$L16</f>
        <v>72279271</v>
      </c>
      <c r="AC168" s="7">
        <f>AB168+1000000*new_building_eurostat!$L16</f>
        <v>74759271</v>
      </c>
      <c r="AD168" s="7">
        <f>AC168+1000000*new_building_eurostat!$L16</f>
        <v>77239271</v>
      </c>
      <c r="AE168" s="7">
        <f>AD168+1000000*new_building_eurostat!$L16</f>
        <v>79719271</v>
      </c>
      <c r="AF168" s="7">
        <f>AE168+1000000*new_building_eurostat!$L16</f>
        <v>82199271</v>
      </c>
      <c r="AG168" s="7">
        <f>AF168+1000000*new_building_eurostat!$L16</f>
        <v>84679271</v>
      </c>
      <c r="AH168" s="7">
        <f>AG168+1000000*new_building_eurostat!$L16</f>
        <v>87159271</v>
      </c>
      <c r="AI168" s="7">
        <f>AH168+1000000*new_building_eurostat!$L16</f>
        <v>89639271</v>
      </c>
      <c r="AJ168" s="7">
        <f>AI168+1000000*new_building_eurostat!$L16</f>
        <v>92119271</v>
      </c>
      <c r="AK168" s="7">
        <f>AJ168+1000000*new_building_eurostat!$L16</f>
        <v>94599271</v>
      </c>
      <c r="AL168" s="7">
        <f>AK168+1000000*new_building_eurostat!$L16</f>
        <v>97079271</v>
      </c>
      <c r="AM168" s="7">
        <f>AL168+1000000*new_building_eurostat!$L16</f>
        <v>99559271</v>
      </c>
      <c r="AN168" s="7">
        <f>AM168+1000000*new_building_eurostat!$L16</f>
        <v>102039271</v>
      </c>
      <c r="AO168" s="7">
        <f>AN168+1000000*new_building_eurostat!$L16</f>
        <v>104519271</v>
      </c>
      <c r="AP168" s="7">
        <f>AO168+1000000*new_building_eurostat!$L16</f>
        <v>106999271</v>
      </c>
      <c r="AQ168" s="29">
        <f>AP168+1000000*new_building_eurostat!$L16</f>
        <v>109479271</v>
      </c>
      <c r="AS168" s="7">
        <f t="shared" si="6"/>
        <v>112474037</v>
      </c>
    </row>
    <row r="169" spans="1:45">
      <c r="A169" s="3" t="s">
        <v>41</v>
      </c>
      <c r="B169" s="2" t="s">
        <v>14</v>
      </c>
      <c r="C169" s="4">
        <v>40695491</v>
      </c>
      <c r="D169" s="7">
        <f>C169+1000000*new_building_eurostat!$L17</f>
        <v>48275491</v>
      </c>
      <c r="E169" s="7">
        <f>D169+1000000*new_building_eurostat!$L17</f>
        <v>55855491</v>
      </c>
      <c r="F169" s="7">
        <f>E169+1000000*new_building_eurostat!$L17</f>
        <v>63435491</v>
      </c>
      <c r="G169" s="7">
        <f>F169+1000000*new_building_eurostat!$L17</f>
        <v>71015491</v>
      </c>
      <c r="H169" s="7">
        <f>G169+1000000*new_building_eurostat!$L17</f>
        <v>78595491</v>
      </c>
      <c r="I169" s="7">
        <f>H169+1000000*new_building_eurostat!$L17</f>
        <v>86175491</v>
      </c>
      <c r="J169" s="7">
        <f>I169+1000000*new_building_eurostat!$L17</f>
        <v>93755491</v>
      </c>
      <c r="K169" s="7">
        <f>J169+1000000*new_building_eurostat!$L17</f>
        <v>101335491</v>
      </c>
      <c r="L169" s="7">
        <f>K169+1000000*new_building_eurostat!$L17</f>
        <v>108915491</v>
      </c>
      <c r="M169" s="7">
        <f>L169+1000000*new_building_eurostat!$L17</f>
        <v>116495491</v>
      </c>
      <c r="N169" s="7">
        <f>M169+1000000*new_building_eurostat!$L17</f>
        <v>124075491</v>
      </c>
      <c r="O169" s="7">
        <f>N169+1000000*new_building_eurostat!$L17</f>
        <v>131655491</v>
      </c>
      <c r="P169" s="7">
        <f>O169+1000000*new_building_eurostat!$L17</f>
        <v>139235491</v>
      </c>
      <c r="Q169" s="7">
        <f>P169+1000000*new_building_eurostat!$L17</f>
        <v>146815491</v>
      </c>
      <c r="R169" s="7">
        <f>Q169+1000000*new_building_eurostat!$L17</f>
        <v>154395491</v>
      </c>
      <c r="S169" s="7">
        <f>R169+1000000*new_building_eurostat!$L17</f>
        <v>161975491</v>
      </c>
      <c r="T169" s="7">
        <f>S169+1000000*new_building_eurostat!$L17</f>
        <v>169555491</v>
      </c>
      <c r="U169" s="7">
        <f>T169+1000000*new_building_eurostat!$L17</f>
        <v>177135491</v>
      </c>
      <c r="V169" s="7">
        <f>U169+1000000*new_building_eurostat!$L17</f>
        <v>184715491</v>
      </c>
      <c r="W169" s="7">
        <f>V169+1000000*new_building_eurostat!$L17</f>
        <v>192295491</v>
      </c>
      <c r="X169" s="7">
        <f>W169+1000000*new_building_eurostat!$L17</f>
        <v>199875491</v>
      </c>
      <c r="Y169" s="7">
        <f>X169+1000000*new_building_eurostat!$L17</f>
        <v>207455491</v>
      </c>
      <c r="Z169" s="7">
        <f>Y169+1000000*new_building_eurostat!$L17</f>
        <v>215035491</v>
      </c>
      <c r="AA169" s="7">
        <f>Z169+1000000*new_building_eurostat!$L17</f>
        <v>222615491</v>
      </c>
      <c r="AB169" s="7">
        <f>AA169+1000000*new_building_eurostat!$L17</f>
        <v>230195491</v>
      </c>
      <c r="AC169" s="7">
        <f>AB169+1000000*new_building_eurostat!$L17</f>
        <v>237775491</v>
      </c>
      <c r="AD169" s="7">
        <f>AC169+1000000*new_building_eurostat!$L17</f>
        <v>245355491</v>
      </c>
      <c r="AE169" s="7">
        <f>AD169+1000000*new_building_eurostat!$L17</f>
        <v>252935491</v>
      </c>
      <c r="AF169" s="7">
        <f>AE169+1000000*new_building_eurostat!$L17</f>
        <v>260515491</v>
      </c>
      <c r="AG169" s="7">
        <f>AF169+1000000*new_building_eurostat!$L17</f>
        <v>268095491</v>
      </c>
      <c r="AH169" s="7">
        <f>AG169+1000000*new_building_eurostat!$L17</f>
        <v>275675491</v>
      </c>
      <c r="AI169" s="7">
        <f>AH169+1000000*new_building_eurostat!$L17</f>
        <v>283255491</v>
      </c>
      <c r="AJ169" s="7">
        <f>AI169+1000000*new_building_eurostat!$L17</f>
        <v>290835491</v>
      </c>
      <c r="AK169" s="7">
        <f>AJ169+1000000*new_building_eurostat!$L17</f>
        <v>298415491</v>
      </c>
      <c r="AL169" s="7">
        <f>AK169+1000000*new_building_eurostat!$L17</f>
        <v>305995491</v>
      </c>
      <c r="AM169" s="7">
        <f>AL169+1000000*new_building_eurostat!$L17</f>
        <v>313575491</v>
      </c>
      <c r="AN169" s="7">
        <f>AM169+1000000*new_building_eurostat!$L17</f>
        <v>321155491</v>
      </c>
      <c r="AO169" s="7">
        <f>AN169+1000000*new_building_eurostat!$L17</f>
        <v>328735491</v>
      </c>
      <c r="AP169" s="7">
        <f>AO169+1000000*new_building_eurostat!$L17</f>
        <v>336315491</v>
      </c>
      <c r="AQ169" s="29">
        <f>AP169+1000000*new_building_eurostat!$L17</f>
        <v>343895491</v>
      </c>
      <c r="AS169" s="7">
        <f t="shared" si="6"/>
        <v>660472107</v>
      </c>
    </row>
    <row r="170" spans="1:45">
      <c r="A170" s="3" t="s">
        <v>41</v>
      </c>
      <c r="B170" s="2" t="s">
        <v>15</v>
      </c>
      <c r="C170" s="4">
        <v>43419261</v>
      </c>
      <c r="D170" s="7">
        <f>C170+1000000*new_building_eurostat!$L18</f>
        <v>51039261</v>
      </c>
      <c r="E170" s="7">
        <f>D170+1000000*new_building_eurostat!$L18</f>
        <v>58659261</v>
      </c>
      <c r="F170" s="7">
        <f>E170+1000000*new_building_eurostat!$L18</f>
        <v>66279261</v>
      </c>
      <c r="G170" s="7">
        <f>F170+1000000*new_building_eurostat!$L18</f>
        <v>73899261</v>
      </c>
      <c r="H170" s="7">
        <f>G170+1000000*new_building_eurostat!$L18</f>
        <v>81519261</v>
      </c>
      <c r="I170" s="7">
        <f>H170+1000000*new_building_eurostat!$L18</f>
        <v>89139261</v>
      </c>
      <c r="J170" s="7">
        <f>I170+1000000*new_building_eurostat!$L18</f>
        <v>96759261</v>
      </c>
      <c r="K170" s="7">
        <f>J170+1000000*new_building_eurostat!$L18</f>
        <v>104379261</v>
      </c>
      <c r="L170" s="7">
        <f>K170+1000000*new_building_eurostat!$L18</f>
        <v>111999261</v>
      </c>
      <c r="M170" s="7">
        <f>L170+1000000*new_building_eurostat!$L18</f>
        <v>119619261</v>
      </c>
      <c r="N170" s="7">
        <f>M170+1000000*new_building_eurostat!$L18</f>
        <v>127239261</v>
      </c>
      <c r="O170" s="7">
        <f>N170+1000000*new_building_eurostat!$L18</f>
        <v>134859261</v>
      </c>
      <c r="P170" s="7">
        <f>O170+1000000*new_building_eurostat!$L18</f>
        <v>142479261</v>
      </c>
      <c r="Q170" s="7">
        <f>P170+1000000*new_building_eurostat!$L18</f>
        <v>150099261</v>
      </c>
      <c r="R170" s="7">
        <f>Q170+1000000*new_building_eurostat!$L18</f>
        <v>157719261</v>
      </c>
      <c r="S170" s="7">
        <f>R170+1000000*new_building_eurostat!$L18</f>
        <v>165339261</v>
      </c>
      <c r="T170" s="7">
        <f>S170+1000000*new_building_eurostat!$L18</f>
        <v>172959261</v>
      </c>
      <c r="U170" s="7">
        <f>T170+1000000*new_building_eurostat!$L18</f>
        <v>180579261</v>
      </c>
      <c r="V170" s="7">
        <f>U170+1000000*new_building_eurostat!$L18</f>
        <v>188199261</v>
      </c>
      <c r="W170" s="7">
        <f>V170+1000000*new_building_eurostat!$L18</f>
        <v>195819261</v>
      </c>
      <c r="X170" s="7">
        <f>W170+1000000*new_building_eurostat!$L18</f>
        <v>203439261</v>
      </c>
      <c r="Y170" s="7">
        <f>X170+1000000*new_building_eurostat!$L18</f>
        <v>211059261</v>
      </c>
      <c r="Z170" s="7">
        <f>Y170+1000000*new_building_eurostat!$L18</f>
        <v>218679261</v>
      </c>
      <c r="AA170" s="7">
        <f>Z170+1000000*new_building_eurostat!$L18</f>
        <v>226299261</v>
      </c>
      <c r="AB170" s="7">
        <f>AA170+1000000*new_building_eurostat!$L18</f>
        <v>233919261</v>
      </c>
      <c r="AC170" s="7">
        <f>AB170+1000000*new_building_eurostat!$L18</f>
        <v>241539261</v>
      </c>
      <c r="AD170" s="7">
        <f>AC170+1000000*new_building_eurostat!$L18</f>
        <v>249159261</v>
      </c>
      <c r="AE170" s="7">
        <f>AD170+1000000*new_building_eurostat!$L18</f>
        <v>256779261</v>
      </c>
      <c r="AF170" s="7">
        <f>AE170+1000000*new_building_eurostat!$L18</f>
        <v>264399261</v>
      </c>
      <c r="AG170" s="7">
        <f>AF170+1000000*new_building_eurostat!$L18</f>
        <v>272019261</v>
      </c>
      <c r="AH170" s="7">
        <f>AG170+1000000*new_building_eurostat!$L18</f>
        <v>279639261</v>
      </c>
      <c r="AI170" s="7">
        <f>AH170+1000000*new_building_eurostat!$L18</f>
        <v>287259261</v>
      </c>
      <c r="AJ170" s="7">
        <f>AI170+1000000*new_building_eurostat!$L18</f>
        <v>294879261</v>
      </c>
      <c r="AK170" s="7">
        <f>AJ170+1000000*new_building_eurostat!$L18</f>
        <v>302499261</v>
      </c>
      <c r="AL170" s="7">
        <f>AK170+1000000*new_building_eurostat!$L18</f>
        <v>310119261</v>
      </c>
      <c r="AM170" s="7">
        <f>AL170+1000000*new_building_eurostat!$L18</f>
        <v>317739261</v>
      </c>
      <c r="AN170" s="7">
        <f>AM170+1000000*new_building_eurostat!$L18</f>
        <v>325359261</v>
      </c>
      <c r="AO170" s="7">
        <f>AN170+1000000*new_building_eurostat!$L18</f>
        <v>332979261</v>
      </c>
      <c r="AP170" s="7">
        <f>AO170+1000000*new_building_eurostat!$L18</f>
        <v>340599261</v>
      </c>
      <c r="AQ170" s="29">
        <f>AP170+1000000*new_building_eurostat!$L18</f>
        <v>348219261</v>
      </c>
      <c r="AS170" s="7">
        <f t="shared" si="6"/>
        <v>485517559</v>
      </c>
    </row>
    <row r="171" spans="1:45">
      <c r="A171" s="3" t="s">
        <v>41</v>
      </c>
      <c r="B171" s="2" t="s">
        <v>16</v>
      </c>
      <c r="C171" s="4">
        <v>3904904</v>
      </c>
      <c r="D171" s="7">
        <f>C171+1000000*new_building_eurostat!$L19</f>
        <v>5544904</v>
      </c>
      <c r="E171" s="7">
        <f>D171+1000000*new_building_eurostat!$L19</f>
        <v>7184904</v>
      </c>
      <c r="F171" s="7">
        <f>E171+1000000*new_building_eurostat!$L19</f>
        <v>8824904</v>
      </c>
      <c r="G171" s="7">
        <f>F171+1000000*new_building_eurostat!$L19</f>
        <v>10464904</v>
      </c>
      <c r="H171" s="7">
        <f>G171+1000000*new_building_eurostat!$L19</f>
        <v>12104904</v>
      </c>
      <c r="I171" s="7">
        <f>H171+1000000*new_building_eurostat!$L19</f>
        <v>13744904</v>
      </c>
      <c r="J171" s="7">
        <f>I171+1000000*new_building_eurostat!$L19</f>
        <v>15384904</v>
      </c>
      <c r="K171" s="7">
        <f>J171+1000000*new_building_eurostat!$L19</f>
        <v>17024904</v>
      </c>
      <c r="L171" s="7">
        <f>K171+1000000*new_building_eurostat!$L19</f>
        <v>18664904</v>
      </c>
      <c r="M171" s="7">
        <f>L171+1000000*new_building_eurostat!$L19</f>
        <v>20304904</v>
      </c>
      <c r="N171" s="7">
        <f>M171+1000000*new_building_eurostat!$L19</f>
        <v>21944904</v>
      </c>
      <c r="O171" s="7">
        <f>N171+1000000*new_building_eurostat!$L19</f>
        <v>23584904</v>
      </c>
      <c r="P171" s="7">
        <f>O171+1000000*new_building_eurostat!$L19</f>
        <v>25224904</v>
      </c>
      <c r="Q171" s="7">
        <f>P171+1000000*new_building_eurostat!$L19</f>
        <v>26864904</v>
      </c>
      <c r="R171" s="7">
        <f>Q171+1000000*new_building_eurostat!$L19</f>
        <v>28504904</v>
      </c>
      <c r="S171" s="7">
        <f>R171+1000000*new_building_eurostat!$L19</f>
        <v>30144904</v>
      </c>
      <c r="T171" s="7">
        <f>S171+1000000*new_building_eurostat!$L19</f>
        <v>31784904</v>
      </c>
      <c r="U171" s="7">
        <f>T171+1000000*new_building_eurostat!$L19</f>
        <v>33424904</v>
      </c>
      <c r="V171" s="7">
        <f>U171+1000000*new_building_eurostat!$L19</f>
        <v>35064904</v>
      </c>
      <c r="W171" s="7">
        <f>V171+1000000*new_building_eurostat!$L19</f>
        <v>36704904</v>
      </c>
      <c r="X171" s="7">
        <f>W171+1000000*new_building_eurostat!$L19</f>
        <v>38344904</v>
      </c>
      <c r="Y171" s="7">
        <f>X171+1000000*new_building_eurostat!$L19</f>
        <v>39984904</v>
      </c>
      <c r="Z171" s="7">
        <f>Y171+1000000*new_building_eurostat!$L19</f>
        <v>41624904</v>
      </c>
      <c r="AA171" s="7">
        <f>Z171+1000000*new_building_eurostat!$L19</f>
        <v>43264904</v>
      </c>
      <c r="AB171" s="7">
        <f>AA171+1000000*new_building_eurostat!$L19</f>
        <v>44904904</v>
      </c>
      <c r="AC171" s="7">
        <f>AB171+1000000*new_building_eurostat!$L19</f>
        <v>46544904</v>
      </c>
      <c r="AD171" s="7">
        <f>AC171+1000000*new_building_eurostat!$L19</f>
        <v>48184904</v>
      </c>
      <c r="AE171" s="7">
        <f>AD171+1000000*new_building_eurostat!$L19</f>
        <v>49824904</v>
      </c>
      <c r="AF171" s="7">
        <f>AE171+1000000*new_building_eurostat!$L19</f>
        <v>51464904</v>
      </c>
      <c r="AG171" s="7">
        <f>AF171+1000000*new_building_eurostat!$L19</f>
        <v>53104904</v>
      </c>
      <c r="AH171" s="7">
        <f>AG171+1000000*new_building_eurostat!$L19</f>
        <v>54744904</v>
      </c>
      <c r="AI171" s="7">
        <f>AH171+1000000*new_building_eurostat!$L19</f>
        <v>56384904</v>
      </c>
      <c r="AJ171" s="7">
        <f>AI171+1000000*new_building_eurostat!$L19</f>
        <v>58024904</v>
      </c>
      <c r="AK171" s="7">
        <f>AJ171+1000000*new_building_eurostat!$L19</f>
        <v>59664904</v>
      </c>
      <c r="AL171" s="7">
        <f>AK171+1000000*new_building_eurostat!$L19</f>
        <v>61304904</v>
      </c>
      <c r="AM171" s="7">
        <f>AL171+1000000*new_building_eurostat!$L19</f>
        <v>62944904</v>
      </c>
      <c r="AN171" s="7">
        <f>AM171+1000000*new_building_eurostat!$L19</f>
        <v>64584904</v>
      </c>
      <c r="AO171" s="7">
        <f>AN171+1000000*new_building_eurostat!$L19</f>
        <v>66224904</v>
      </c>
      <c r="AP171" s="7">
        <f>AO171+1000000*new_building_eurostat!$L19</f>
        <v>67864904</v>
      </c>
      <c r="AQ171" s="29">
        <f>AP171+1000000*new_building_eurostat!$L19</f>
        <v>69504904</v>
      </c>
      <c r="AS171" s="7">
        <f t="shared" si="6"/>
        <v>44472579</v>
      </c>
    </row>
    <row r="172" spans="1:45">
      <c r="A172" s="3" t="s">
        <v>41</v>
      </c>
      <c r="B172" s="2" t="s">
        <v>17</v>
      </c>
      <c r="C172" s="4">
        <v>13249956</v>
      </c>
      <c r="D172" s="7">
        <f>C172+1000000*new_building_eurostat!$L20</f>
        <v>19729956</v>
      </c>
      <c r="E172" s="7">
        <f>D172+1000000*new_building_eurostat!$L20</f>
        <v>26209956</v>
      </c>
      <c r="F172" s="7">
        <f>E172+1000000*new_building_eurostat!$L20</f>
        <v>32689956</v>
      </c>
      <c r="G172" s="7">
        <f>F172+1000000*new_building_eurostat!$L20</f>
        <v>39169956</v>
      </c>
      <c r="H172" s="7">
        <f>G172+1000000*new_building_eurostat!$L20</f>
        <v>45649956</v>
      </c>
      <c r="I172" s="7">
        <f>H172+1000000*new_building_eurostat!$L20</f>
        <v>52129956</v>
      </c>
      <c r="J172" s="7">
        <f>I172+1000000*new_building_eurostat!$L20</f>
        <v>58609956</v>
      </c>
      <c r="K172" s="7">
        <f>J172+1000000*new_building_eurostat!$L20</f>
        <v>65089956</v>
      </c>
      <c r="L172" s="7">
        <f>K172+1000000*new_building_eurostat!$L20</f>
        <v>71569956</v>
      </c>
      <c r="M172" s="7">
        <f>L172+1000000*new_building_eurostat!$L20</f>
        <v>78049956</v>
      </c>
      <c r="N172" s="7">
        <f>M172+1000000*new_building_eurostat!$L20</f>
        <v>84529956</v>
      </c>
      <c r="O172" s="7">
        <f>N172+1000000*new_building_eurostat!$L20</f>
        <v>91009956</v>
      </c>
      <c r="P172" s="7">
        <f>O172+1000000*new_building_eurostat!$L20</f>
        <v>97489956</v>
      </c>
      <c r="Q172" s="7">
        <f>P172+1000000*new_building_eurostat!$L20</f>
        <v>103969956</v>
      </c>
      <c r="R172" s="7">
        <f>Q172+1000000*new_building_eurostat!$L20</f>
        <v>110449956</v>
      </c>
      <c r="S172" s="7">
        <f>R172+1000000*new_building_eurostat!$L20</f>
        <v>116929956</v>
      </c>
      <c r="T172" s="7">
        <f>S172+1000000*new_building_eurostat!$L20</f>
        <v>123409956</v>
      </c>
      <c r="U172" s="7">
        <f>T172+1000000*new_building_eurostat!$L20</f>
        <v>129889956</v>
      </c>
      <c r="V172" s="7">
        <f>U172+1000000*new_building_eurostat!$L20</f>
        <v>136369956</v>
      </c>
      <c r="W172" s="7">
        <f>V172+1000000*new_building_eurostat!$L20</f>
        <v>142849956</v>
      </c>
      <c r="X172" s="7">
        <f>W172+1000000*new_building_eurostat!$L20</f>
        <v>149329956</v>
      </c>
      <c r="Y172" s="7">
        <f>X172+1000000*new_building_eurostat!$L20</f>
        <v>155809956</v>
      </c>
      <c r="Z172" s="7">
        <f>Y172+1000000*new_building_eurostat!$L20</f>
        <v>162289956</v>
      </c>
      <c r="AA172" s="7">
        <f>Z172+1000000*new_building_eurostat!$L20</f>
        <v>168769956</v>
      </c>
      <c r="AB172" s="7">
        <f>AA172+1000000*new_building_eurostat!$L20</f>
        <v>175249956</v>
      </c>
      <c r="AC172" s="7">
        <f>AB172+1000000*new_building_eurostat!$L20</f>
        <v>181729956</v>
      </c>
      <c r="AD172" s="7">
        <f>AC172+1000000*new_building_eurostat!$L20</f>
        <v>188209956</v>
      </c>
      <c r="AE172" s="7">
        <f>AD172+1000000*new_building_eurostat!$L20</f>
        <v>194689956</v>
      </c>
      <c r="AF172" s="7">
        <f>AE172+1000000*new_building_eurostat!$L20</f>
        <v>201169956</v>
      </c>
      <c r="AG172" s="7">
        <f>AF172+1000000*new_building_eurostat!$L20</f>
        <v>207649956</v>
      </c>
      <c r="AH172" s="7">
        <f>AG172+1000000*new_building_eurostat!$L20</f>
        <v>214129956</v>
      </c>
      <c r="AI172" s="7">
        <f>AH172+1000000*new_building_eurostat!$L20</f>
        <v>220609956</v>
      </c>
      <c r="AJ172" s="7">
        <f>AI172+1000000*new_building_eurostat!$L20</f>
        <v>227089956</v>
      </c>
      <c r="AK172" s="7">
        <f>AJ172+1000000*new_building_eurostat!$L20</f>
        <v>233569956</v>
      </c>
      <c r="AL172" s="7">
        <f>AK172+1000000*new_building_eurostat!$L20</f>
        <v>240049956</v>
      </c>
      <c r="AM172" s="7">
        <f>AL172+1000000*new_building_eurostat!$L20</f>
        <v>246529956</v>
      </c>
      <c r="AN172" s="7">
        <f>AM172+1000000*new_building_eurostat!$L20</f>
        <v>253009956</v>
      </c>
      <c r="AO172" s="7">
        <f>AN172+1000000*new_building_eurostat!$L20</f>
        <v>259489956</v>
      </c>
      <c r="AP172" s="7">
        <f>AO172+1000000*new_building_eurostat!$L20</f>
        <v>265969956</v>
      </c>
      <c r="AQ172" s="29">
        <f>AP172+1000000*new_building_eurostat!$L20</f>
        <v>272449956</v>
      </c>
      <c r="AS172" s="7">
        <f t="shared" si="6"/>
        <v>516777934</v>
      </c>
    </row>
    <row r="173" spans="1:45">
      <c r="A173" s="3" t="s">
        <v>41</v>
      </c>
      <c r="B173" s="2" t="s">
        <v>18</v>
      </c>
      <c r="C173" s="4">
        <v>424818667</v>
      </c>
      <c r="D173" s="7">
        <f>C173+1000000*new_building_eurostat!$L21</f>
        <v>495998667</v>
      </c>
      <c r="E173" s="7">
        <f>D173+1000000*new_building_eurostat!$L21</f>
        <v>567178667</v>
      </c>
      <c r="F173" s="7">
        <f>E173+1000000*new_building_eurostat!$L21</f>
        <v>638358667</v>
      </c>
      <c r="G173" s="7">
        <f>F173+1000000*new_building_eurostat!$L21</f>
        <v>709538667</v>
      </c>
      <c r="H173" s="7">
        <f>G173+1000000*new_building_eurostat!$L21</f>
        <v>780718667</v>
      </c>
      <c r="I173" s="7">
        <f>H173+1000000*new_building_eurostat!$L21</f>
        <v>851898667</v>
      </c>
      <c r="J173" s="7">
        <f>I173+1000000*new_building_eurostat!$L21</f>
        <v>923078667</v>
      </c>
      <c r="K173" s="7">
        <f>J173+1000000*new_building_eurostat!$L21</f>
        <v>994258667</v>
      </c>
      <c r="L173" s="7">
        <f>K173+1000000*new_building_eurostat!$L21</f>
        <v>1065438667</v>
      </c>
      <c r="M173" s="7">
        <f>L173+1000000*new_building_eurostat!$L21</f>
        <v>1136618667</v>
      </c>
      <c r="N173" s="7">
        <f>M173+1000000*new_building_eurostat!$L21</f>
        <v>1207798667</v>
      </c>
      <c r="O173" s="7">
        <f>N173+1000000*new_building_eurostat!$L21</f>
        <v>1278978667</v>
      </c>
      <c r="P173" s="7">
        <f>O173+1000000*new_building_eurostat!$L21</f>
        <v>1350158667</v>
      </c>
      <c r="Q173" s="7">
        <f>P173+1000000*new_building_eurostat!$L21</f>
        <v>1421338667</v>
      </c>
      <c r="R173" s="7">
        <f>Q173+1000000*new_building_eurostat!$L21</f>
        <v>1492518667</v>
      </c>
      <c r="S173" s="7">
        <f>R173+1000000*new_building_eurostat!$L21</f>
        <v>1563698667</v>
      </c>
      <c r="T173" s="7">
        <f>S173+1000000*new_building_eurostat!$L21</f>
        <v>1634878667</v>
      </c>
      <c r="U173" s="7">
        <f>T173+1000000*new_building_eurostat!$L21</f>
        <v>1706058667</v>
      </c>
      <c r="V173" s="7">
        <f>U173+1000000*new_building_eurostat!$L21</f>
        <v>1777238667</v>
      </c>
      <c r="W173" s="7">
        <f>V173+1000000*new_building_eurostat!$L21</f>
        <v>1848418667</v>
      </c>
      <c r="X173" s="7">
        <f>W173+1000000*new_building_eurostat!$L21</f>
        <v>1919598667</v>
      </c>
      <c r="Y173" s="7">
        <f>X173+1000000*new_building_eurostat!$L21</f>
        <v>1990778667</v>
      </c>
      <c r="Z173" s="7">
        <f>Y173+1000000*new_building_eurostat!$L21</f>
        <v>2061958667</v>
      </c>
      <c r="AA173" s="7">
        <f>Z173+1000000*new_building_eurostat!$L21</f>
        <v>2133138667</v>
      </c>
      <c r="AB173" s="7">
        <f>AA173+1000000*new_building_eurostat!$L21</f>
        <v>2204318667</v>
      </c>
      <c r="AC173" s="7">
        <f>AB173+1000000*new_building_eurostat!$L21</f>
        <v>2275498667</v>
      </c>
      <c r="AD173" s="7">
        <f>AC173+1000000*new_building_eurostat!$L21</f>
        <v>2346678667</v>
      </c>
      <c r="AE173" s="7">
        <f>AD173+1000000*new_building_eurostat!$L21</f>
        <v>2417858667</v>
      </c>
      <c r="AF173" s="7">
        <f>AE173+1000000*new_building_eurostat!$L21</f>
        <v>2489038667</v>
      </c>
      <c r="AG173" s="7">
        <f>AF173+1000000*new_building_eurostat!$L21</f>
        <v>2560218667</v>
      </c>
      <c r="AH173" s="7">
        <f>AG173+1000000*new_building_eurostat!$L21</f>
        <v>2631398667</v>
      </c>
      <c r="AI173" s="7">
        <f>AH173+1000000*new_building_eurostat!$L21</f>
        <v>2702578667</v>
      </c>
      <c r="AJ173" s="7">
        <f>AI173+1000000*new_building_eurostat!$L21</f>
        <v>2773758667</v>
      </c>
      <c r="AK173" s="7">
        <f>AJ173+1000000*new_building_eurostat!$L21</f>
        <v>2844938667</v>
      </c>
      <c r="AL173" s="7">
        <f>AK173+1000000*new_building_eurostat!$L21</f>
        <v>2916118667</v>
      </c>
      <c r="AM173" s="7">
        <f>AL173+1000000*new_building_eurostat!$L21</f>
        <v>2987298667</v>
      </c>
      <c r="AN173" s="7">
        <f>AM173+1000000*new_building_eurostat!$L21</f>
        <v>3058478667</v>
      </c>
      <c r="AO173" s="7">
        <f>AN173+1000000*new_building_eurostat!$L21</f>
        <v>3129658667</v>
      </c>
      <c r="AP173" s="7">
        <f>AO173+1000000*new_building_eurostat!$L21</f>
        <v>3200838667</v>
      </c>
      <c r="AQ173" s="29">
        <f>AP173+1000000*new_building_eurostat!$L21</f>
        <v>3272018667</v>
      </c>
      <c r="AS173" s="7">
        <f t="shared" si="6"/>
        <v>4129205964</v>
      </c>
    </row>
    <row r="174" spans="1:45">
      <c r="A174" s="3" t="s">
        <v>41</v>
      </c>
      <c r="B174" s="2" t="s">
        <v>19</v>
      </c>
      <c r="C174" s="4">
        <v>512800262</v>
      </c>
      <c r="D174" s="7">
        <f>C174+1000000*new_building_eurostat!$L22</f>
        <v>570480262</v>
      </c>
      <c r="E174" s="7">
        <f>D174+1000000*new_building_eurostat!$L22</f>
        <v>628160262</v>
      </c>
      <c r="F174" s="7">
        <f>E174+1000000*new_building_eurostat!$L22</f>
        <v>685840262</v>
      </c>
      <c r="G174" s="7">
        <f>F174+1000000*new_building_eurostat!$L22</f>
        <v>743520262</v>
      </c>
      <c r="H174" s="7">
        <f>G174+1000000*new_building_eurostat!$L22</f>
        <v>801200262</v>
      </c>
      <c r="I174" s="7">
        <f>H174+1000000*new_building_eurostat!$L22</f>
        <v>858880262</v>
      </c>
      <c r="J174" s="7">
        <f>I174+1000000*new_building_eurostat!$L22</f>
        <v>916560262</v>
      </c>
      <c r="K174" s="7">
        <f>J174+1000000*new_building_eurostat!$L22</f>
        <v>974240262</v>
      </c>
      <c r="L174" s="7">
        <f>K174+1000000*new_building_eurostat!$L22</f>
        <v>1031920262</v>
      </c>
      <c r="M174" s="7">
        <f>L174+1000000*new_building_eurostat!$L22</f>
        <v>1089600262</v>
      </c>
      <c r="N174" s="7">
        <f>M174+1000000*new_building_eurostat!$L22</f>
        <v>1147280262</v>
      </c>
      <c r="O174" s="7">
        <f>N174+1000000*new_building_eurostat!$L22</f>
        <v>1204960262</v>
      </c>
      <c r="P174" s="7">
        <f>O174+1000000*new_building_eurostat!$L22</f>
        <v>1262640262</v>
      </c>
      <c r="Q174" s="7">
        <f>P174+1000000*new_building_eurostat!$L22</f>
        <v>1320320262</v>
      </c>
      <c r="R174" s="7">
        <f>Q174+1000000*new_building_eurostat!$L22</f>
        <v>1378000262</v>
      </c>
      <c r="S174" s="7">
        <f>R174+1000000*new_building_eurostat!$L22</f>
        <v>1435680262</v>
      </c>
      <c r="T174" s="7">
        <f>S174+1000000*new_building_eurostat!$L22</f>
        <v>1493360262</v>
      </c>
      <c r="U174" s="7">
        <f>T174+1000000*new_building_eurostat!$L22</f>
        <v>1551040262</v>
      </c>
      <c r="V174" s="7">
        <f>U174+1000000*new_building_eurostat!$L22</f>
        <v>1608720262</v>
      </c>
      <c r="W174" s="7">
        <f>V174+1000000*new_building_eurostat!$L22</f>
        <v>1666400262</v>
      </c>
      <c r="X174" s="7">
        <f>W174+1000000*new_building_eurostat!$L22</f>
        <v>1724080262</v>
      </c>
      <c r="Y174" s="7">
        <f>X174+1000000*new_building_eurostat!$L22</f>
        <v>1781760262</v>
      </c>
      <c r="Z174" s="7">
        <f>Y174+1000000*new_building_eurostat!$L22</f>
        <v>1839440262</v>
      </c>
      <c r="AA174" s="7">
        <f>Z174+1000000*new_building_eurostat!$L22</f>
        <v>1897120262</v>
      </c>
      <c r="AB174" s="7">
        <f>AA174+1000000*new_building_eurostat!$L22</f>
        <v>1954800262</v>
      </c>
      <c r="AC174" s="7">
        <f>AB174+1000000*new_building_eurostat!$L22</f>
        <v>2012480262</v>
      </c>
      <c r="AD174" s="7">
        <f>AC174+1000000*new_building_eurostat!$L22</f>
        <v>2070160262</v>
      </c>
      <c r="AE174" s="7">
        <f>AD174+1000000*new_building_eurostat!$L22</f>
        <v>2127840262</v>
      </c>
      <c r="AF174" s="7">
        <f>AE174+1000000*new_building_eurostat!$L22</f>
        <v>2185520262</v>
      </c>
      <c r="AG174" s="7">
        <f>AF174+1000000*new_building_eurostat!$L22</f>
        <v>2243200262</v>
      </c>
      <c r="AH174" s="7">
        <f>AG174+1000000*new_building_eurostat!$L22</f>
        <v>2300880262</v>
      </c>
      <c r="AI174" s="7">
        <f>AH174+1000000*new_building_eurostat!$L22</f>
        <v>2358560262</v>
      </c>
      <c r="AJ174" s="7">
        <f>AI174+1000000*new_building_eurostat!$L22</f>
        <v>2416240262</v>
      </c>
      <c r="AK174" s="7">
        <f>AJ174+1000000*new_building_eurostat!$L22</f>
        <v>2473920262</v>
      </c>
      <c r="AL174" s="7">
        <f>AK174+1000000*new_building_eurostat!$L22</f>
        <v>2531600262</v>
      </c>
      <c r="AM174" s="7">
        <f>AL174+1000000*new_building_eurostat!$L22</f>
        <v>2589280262</v>
      </c>
      <c r="AN174" s="7">
        <f>AM174+1000000*new_building_eurostat!$L22</f>
        <v>2646960262</v>
      </c>
      <c r="AO174" s="7">
        <f>AN174+1000000*new_building_eurostat!$L22</f>
        <v>2704640262</v>
      </c>
      <c r="AP174" s="7">
        <f>AO174+1000000*new_building_eurostat!$L22</f>
        <v>2762320262</v>
      </c>
      <c r="AQ174" s="29">
        <f>AP174+1000000*new_building_eurostat!$L22</f>
        <v>2820000262</v>
      </c>
      <c r="AS174" s="7">
        <f t="shared" si="6"/>
        <v>7315633330</v>
      </c>
    </row>
    <row r="175" spans="1:45">
      <c r="A175" s="3" t="s">
        <v>41</v>
      </c>
      <c r="B175" s="2" t="s">
        <v>20</v>
      </c>
      <c r="C175" s="4">
        <v>32706209</v>
      </c>
      <c r="D175" s="7">
        <f>C175+1000000*new_building_eurostat!$L23</f>
        <v>36906209</v>
      </c>
      <c r="E175" s="7">
        <f>D175+1000000*new_building_eurostat!$L23</f>
        <v>41106209</v>
      </c>
      <c r="F175" s="7">
        <f>E175+1000000*new_building_eurostat!$L23</f>
        <v>45306209</v>
      </c>
      <c r="G175" s="7">
        <f>F175+1000000*new_building_eurostat!$L23</f>
        <v>49506209</v>
      </c>
      <c r="H175" s="7">
        <f>G175+1000000*new_building_eurostat!$L23</f>
        <v>53706209</v>
      </c>
      <c r="I175" s="7">
        <f>H175+1000000*new_building_eurostat!$L23</f>
        <v>57906209</v>
      </c>
      <c r="J175" s="7">
        <f>I175+1000000*new_building_eurostat!$L23</f>
        <v>62106209</v>
      </c>
      <c r="K175" s="7">
        <f>J175+1000000*new_building_eurostat!$L23</f>
        <v>66306209</v>
      </c>
      <c r="L175" s="7">
        <f>K175+1000000*new_building_eurostat!$L23</f>
        <v>70506209</v>
      </c>
      <c r="M175" s="7">
        <f>L175+1000000*new_building_eurostat!$L23</f>
        <v>74706209</v>
      </c>
      <c r="N175" s="7">
        <f>M175+1000000*new_building_eurostat!$L23</f>
        <v>78906209</v>
      </c>
      <c r="O175" s="7">
        <f>N175+1000000*new_building_eurostat!$L23</f>
        <v>83106209</v>
      </c>
      <c r="P175" s="7">
        <f>O175+1000000*new_building_eurostat!$L23</f>
        <v>87306209</v>
      </c>
      <c r="Q175" s="7">
        <f>P175+1000000*new_building_eurostat!$L23</f>
        <v>91506209</v>
      </c>
      <c r="R175" s="7">
        <f>Q175+1000000*new_building_eurostat!$L23</f>
        <v>95706209</v>
      </c>
      <c r="S175" s="7">
        <f>R175+1000000*new_building_eurostat!$L23</f>
        <v>99906209</v>
      </c>
      <c r="T175" s="7">
        <f>S175+1000000*new_building_eurostat!$L23</f>
        <v>104106209</v>
      </c>
      <c r="U175" s="7">
        <f>T175+1000000*new_building_eurostat!$L23</f>
        <v>108306209</v>
      </c>
      <c r="V175" s="7">
        <f>U175+1000000*new_building_eurostat!$L23</f>
        <v>112506209</v>
      </c>
      <c r="W175" s="7">
        <f>V175+1000000*new_building_eurostat!$L23</f>
        <v>116706209</v>
      </c>
      <c r="X175" s="7">
        <f>W175+1000000*new_building_eurostat!$L23</f>
        <v>120906209</v>
      </c>
      <c r="Y175" s="7">
        <f>X175+1000000*new_building_eurostat!$L23</f>
        <v>125106209</v>
      </c>
      <c r="Z175" s="7">
        <f>Y175+1000000*new_building_eurostat!$L23</f>
        <v>129306209</v>
      </c>
      <c r="AA175" s="7">
        <f>Z175+1000000*new_building_eurostat!$L23</f>
        <v>133506209</v>
      </c>
      <c r="AB175" s="7">
        <f>AA175+1000000*new_building_eurostat!$L23</f>
        <v>137706209</v>
      </c>
      <c r="AC175" s="7">
        <f>AB175+1000000*new_building_eurostat!$L23</f>
        <v>141906209</v>
      </c>
      <c r="AD175" s="7">
        <f>AC175+1000000*new_building_eurostat!$L23</f>
        <v>146106209</v>
      </c>
      <c r="AE175" s="7">
        <f>AD175+1000000*new_building_eurostat!$L23</f>
        <v>150306209</v>
      </c>
      <c r="AF175" s="7">
        <f>AE175+1000000*new_building_eurostat!$L23</f>
        <v>154506209</v>
      </c>
      <c r="AG175" s="7">
        <f>AF175+1000000*new_building_eurostat!$L23</f>
        <v>158706209</v>
      </c>
      <c r="AH175" s="7">
        <f>AG175+1000000*new_building_eurostat!$L23</f>
        <v>162906209</v>
      </c>
      <c r="AI175" s="7">
        <f>AH175+1000000*new_building_eurostat!$L23</f>
        <v>167106209</v>
      </c>
      <c r="AJ175" s="7">
        <f>AI175+1000000*new_building_eurostat!$L23</f>
        <v>171306209</v>
      </c>
      <c r="AK175" s="7">
        <f>AJ175+1000000*new_building_eurostat!$L23</f>
        <v>175506209</v>
      </c>
      <c r="AL175" s="7">
        <f>AK175+1000000*new_building_eurostat!$L23</f>
        <v>179706209</v>
      </c>
      <c r="AM175" s="7">
        <f>AL175+1000000*new_building_eurostat!$L23</f>
        <v>183906209</v>
      </c>
      <c r="AN175" s="7">
        <f>AM175+1000000*new_building_eurostat!$L23</f>
        <v>188106209</v>
      </c>
      <c r="AO175" s="7">
        <f>AN175+1000000*new_building_eurostat!$L23</f>
        <v>192306209</v>
      </c>
      <c r="AP175" s="7">
        <f>AO175+1000000*new_building_eurostat!$L23</f>
        <v>196506209</v>
      </c>
      <c r="AQ175" s="29">
        <f>AP175+1000000*new_building_eurostat!$L23</f>
        <v>200706209</v>
      </c>
      <c r="AS175" s="7">
        <f t="shared" si="6"/>
        <v>669797794</v>
      </c>
    </row>
    <row r="176" spans="1:45">
      <c r="A176" s="3" t="s">
        <v>41</v>
      </c>
      <c r="B176" s="2" t="s">
        <v>21</v>
      </c>
      <c r="C176" s="4">
        <v>19640170</v>
      </c>
      <c r="D176" s="7">
        <f>C176+1000000*new_building_eurostat!$L24</f>
        <v>26760170</v>
      </c>
      <c r="E176" s="7">
        <f>D176+1000000*new_building_eurostat!$L24</f>
        <v>33880170</v>
      </c>
      <c r="F176" s="7">
        <f>E176+1000000*new_building_eurostat!$L24</f>
        <v>41000170</v>
      </c>
      <c r="G176" s="7">
        <f>F176+1000000*new_building_eurostat!$L24</f>
        <v>48120170</v>
      </c>
      <c r="H176" s="7">
        <f>G176+1000000*new_building_eurostat!$L24</f>
        <v>55240170</v>
      </c>
      <c r="I176" s="7">
        <f>H176+1000000*new_building_eurostat!$L24</f>
        <v>62360170</v>
      </c>
      <c r="J176" s="7">
        <f>I176+1000000*new_building_eurostat!$L24</f>
        <v>69480170</v>
      </c>
      <c r="K176" s="7">
        <f>J176+1000000*new_building_eurostat!$L24</f>
        <v>76600170</v>
      </c>
      <c r="L176" s="7">
        <f>K176+1000000*new_building_eurostat!$L24</f>
        <v>83720170</v>
      </c>
      <c r="M176" s="7">
        <f>L176+1000000*new_building_eurostat!$L24</f>
        <v>90840170</v>
      </c>
      <c r="N176" s="7">
        <f>M176+1000000*new_building_eurostat!$L24</f>
        <v>97960170</v>
      </c>
      <c r="O176" s="7">
        <f>N176+1000000*new_building_eurostat!$L24</f>
        <v>105080170</v>
      </c>
      <c r="P176" s="7">
        <f>O176+1000000*new_building_eurostat!$L24</f>
        <v>112200170</v>
      </c>
      <c r="Q176" s="7">
        <f>P176+1000000*new_building_eurostat!$L24</f>
        <v>119320170</v>
      </c>
      <c r="R176" s="7">
        <f>Q176+1000000*new_building_eurostat!$L24</f>
        <v>126440170</v>
      </c>
      <c r="S176" s="7">
        <f>R176+1000000*new_building_eurostat!$L24</f>
        <v>133560170</v>
      </c>
      <c r="T176" s="7">
        <f>S176+1000000*new_building_eurostat!$L24</f>
        <v>140680170</v>
      </c>
      <c r="U176" s="7">
        <f>T176+1000000*new_building_eurostat!$L24</f>
        <v>147800170</v>
      </c>
      <c r="V176" s="7">
        <f>U176+1000000*new_building_eurostat!$L24</f>
        <v>154920170</v>
      </c>
      <c r="W176" s="7">
        <f>V176+1000000*new_building_eurostat!$L24</f>
        <v>162040170</v>
      </c>
      <c r="X176" s="7">
        <f>W176+1000000*new_building_eurostat!$L24</f>
        <v>169160170</v>
      </c>
      <c r="Y176" s="7">
        <f>X176+1000000*new_building_eurostat!$L24</f>
        <v>176280170</v>
      </c>
      <c r="Z176" s="7">
        <f>Y176+1000000*new_building_eurostat!$L24</f>
        <v>183400170</v>
      </c>
      <c r="AA176" s="7">
        <f>Z176+1000000*new_building_eurostat!$L24</f>
        <v>190520170</v>
      </c>
      <c r="AB176" s="7">
        <f>AA176+1000000*new_building_eurostat!$L24</f>
        <v>197640170</v>
      </c>
      <c r="AC176" s="7">
        <f>AB176+1000000*new_building_eurostat!$L24</f>
        <v>204760170</v>
      </c>
      <c r="AD176" s="7">
        <f>AC176+1000000*new_building_eurostat!$L24</f>
        <v>211880170</v>
      </c>
      <c r="AE176" s="7">
        <f>AD176+1000000*new_building_eurostat!$L24</f>
        <v>219000170</v>
      </c>
      <c r="AF176" s="7">
        <f>AE176+1000000*new_building_eurostat!$L24</f>
        <v>226120170</v>
      </c>
      <c r="AG176" s="7">
        <f>AF176+1000000*new_building_eurostat!$L24</f>
        <v>233240170</v>
      </c>
      <c r="AH176" s="7">
        <f>AG176+1000000*new_building_eurostat!$L24</f>
        <v>240360170</v>
      </c>
      <c r="AI176" s="7">
        <f>AH176+1000000*new_building_eurostat!$L24</f>
        <v>247480170</v>
      </c>
      <c r="AJ176" s="7">
        <f>AI176+1000000*new_building_eurostat!$L24</f>
        <v>254600170</v>
      </c>
      <c r="AK176" s="7">
        <f>AJ176+1000000*new_building_eurostat!$L24</f>
        <v>261720170</v>
      </c>
      <c r="AL176" s="7">
        <f>AK176+1000000*new_building_eurostat!$L24</f>
        <v>268840170</v>
      </c>
      <c r="AM176" s="7">
        <f>AL176+1000000*new_building_eurostat!$L24</f>
        <v>275960170</v>
      </c>
      <c r="AN176" s="7">
        <f>AM176+1000000*new_building_eurostat!$L24</f>
        <v>283080170</v>
      </c>
      <c r="AO176" s="7">
        <f>AN176+1000000*new_building_eurostat!$L24</f>
        <v>290200170</v>
      </c>
      <c r="AP176" s="7">
        <f>AO176+1000000*new_building_eurostat!$L24</f>
        <v>297320170</v>
      </c>
      <c r="AQ176" s="29">
        <f>AP176+1000000*new_building_eurostat!$L24</f>
        <v>304440170</v>
      </c>
      <c r="AS176" s="7">
        <f t="shared" si="6"/>
        <v>401938582</v>
      </c>
    </row>
    <row r="177" spans="1:45">
      <c r="A177" s="3" t="s">
        <v>41</v>
      </c>
      <c r="B177" s="2" t="s">
        <v>22</v>
      </c>
      <c r="C177" s="4">
        <v>21354773</v>
      </c>
      <c r="D177" s="7">
        <f>C177+1000000*new_building_eurostat!$L25</f>
        <v>27934773</v>
      </c>
      <c r="E177" s="7">
        <f>D177+1000000*new_building_eurostat!$L25</f>
        <v>34514773</v>
      </c>
      <c r="F177" s="7">
        <f>E177+1000000*new_building_eurostat!$L25</f>
        <v>41094773</v>
      </c>
      <c r="G177" s="7">
        <f>F177+1000000*new_building_eurostat!$L25</f>
        <v>47674773</v>
      </c>
      <c r="H177" s="7">
        <f>G177+1000000*new_building_eurostat!$L25</f>
        <v>54254773</v>
      </c>
      <c r="I177" s="7">
        <f>H177+1000000*new_building_eurostat!$L25</f>
        <v>60834773</v>
      </c>
      <c r="J177" s="7">
        <f>I177+1000000*new_building_eurostat!$L25</f>
        <v>67414773</v>
      </c>
      <c r="K177" s="7">
        <f>J177+1000000*new_building_eurostat!$L25</f>
        <v>73994773</v>
      </c>
      <c r="L177" s="7">
        <f>K177+1000000*new_building_eurostat!$L25</f>
        <v>80574773</v>
      </c>
      <c r="M177" s="7">
        <f>L177+1000000*new_building_eurostat!$L25</f>
        <v>87154773</v>
      </c>
      <c r="N177" s="7">
        <f>M177+1000000*new_building_eurostat!$L25</f>
        <v>93734773</v>
      </c>
      <c r="O177" s="7">
        <f>N177+1000000*new_building_eurostat!$L25</f>
        <v>100314773</v>
      </c>
      <c r="P177" s="7">
        <f>O177+1000000*new_building_eurostat!$L25</f>
        <v>106894773</v>
      </c>
      <c r="Q177" s="7">
        <f>P177+1000000*new_building_eurostat!$L25</f>
        <v>113474773</v>
      </c>
      <c r="R177" s="7">
        <f>Q177+1000000*new_building_eurostat!$L25</f>
        <v>120054773</v>
      </c>
      <c r="S177" s="7">
        <f>R177+1000000*new_building_eurostat!$L25</f>
        <v>126634773</v>
      </c>
      <c r="T177" s="7">
        <f>S177+1000000*new_building_eurostat!$L25</f>
        <v>133214773</v>
      </c>
      <c r="U177" s="7">
        <f>T177+1000000*new_building_eurostat!$L25</f>
        <v>139794773</v>
      </c>
      <c r="V177" s="7">
        <f>U177+1000000*new_building_eurostat!$L25</f>
        <v>146374773</v>
      </c>
      <c r="W177" s="7">
        <f>V177+1000000*new_building_eurostat!$L25</f>
        <v>152954773</v>
      </c>
      <c r="X177" s="7">
        <f>W177+1000000*new_building_eurostat!$L25</f>
        <v>159534773</v>
      </c>
      <c r="Y177" s="7">
        <f>X177+1000000*new_building_eurostat!$L25</f>
        <v>166114773</v>
      </c>
      <c r="Z177" s="7">
        <f>Y177+1000000*new_building_eurostat!$L25</f>
        <v>172694773</v>
      </c>
      <c r="AA177" s="7">
        <f>Z177+1000000*new_building_eurostat!$L25</f>
        <v>179274773</v>
      </c>
      <c r="AB177" s="7">
        <f>AA177+1000000*new_building_eurostat!$L25</f>
        <v>185854773</v>
      </c>
      <c r="AC177" s="7">
        <f>AB177+1000000*new_building_eurostat!$L25</f>
        <v>192434773</v>
      </c>
      <c r="AD177" s="7">
        <f>AC177+1000000*new_building_eurostat!$L25</f>
        <v>199014773</v>
      </c>
      <c r="AE177" s="7">
        <f>AD177+1000000*new_building_eurostat!$L25</f>
        <v>205594773</v>
      </c>
      <c r="AF177" s="7">
        <f>AE177+1000000*new_building_eurostat!$L25</f>
        <v>212174773</v>
      </c>
      <c r="AG177" s="7">
        <f>AF177+1000000*new_building_eurostat!$L25</f>
        <v>218754773</v>
      </c>
      <c r="AH177" s="7">
        <f>AG177+1000000*new_building_eurostat!$L25</f>
        <v>225334773</v>
      </c>
      <c r="AI177" s="7">
        <f>AH177+1000000*new_building_eurostat!$L25</f>
        <v>231914773</v>
      </c>
      <c r="AJ177" s="7">
        <f>AI177+1000000*new_building_eurostat!$L25</f>
        <v>238494773</v>
      </c>
      <c r="AK177" s="7">
        <f>AJ177+1000000*new_building_eurostat!$L25</f>
        <v>245074773</v>
      </c>
      <c r="AL177" s="7">
        <f>AK177+1000000*new_building_eurostat!$L25</f>
        <v>251654773</v>
      </c>
      <c r="AM177" s="7">
        <f>AL177+1000000*new_building_eurostat!$L25</f>
        <v>258234773</v>
      </c>
      <c r="AN177" s="7">
        <f>AM177+1000000*new_building_eurostat!$L25</f>
        <v>264814773</v>
      </c>
      <c r="AO177" s="7">
        <f>AN177+1000000*new_building_eurostat!$L25</f>
        <v>271394773</v>
      </c>
      <c r="AP177" s="7">
        <f>AO177+1000000*new_building_eurostat!$L25</f>
        <v>277974773</v>
      </c>
      <c r="AQ177" s="29">
        <f>AP177+1000000*new_building_eurostat!$L25</f>
        <v>284554773</v>
      </c>
      <c r="AS177" s="7">
        <f t="shared" si="6"/>
        <v>264229505</v>
      </c>
    </row>
    <row r="178" spans="1:45">
      <c r="A178" s="3" t="s">
        <v>41</v>
      </c>
      <c r="B178" s="2" t="s">
        <v>23</v>
      </c>
      <c r="C178" s="4">
        <v>461988306</v>
      </c>
      <c r="D178" s="7">
        <f>C178+1000000*new_building_eurostat!$L26</f>
        <v>474788306</v>
      </c>
      <c r="E178" s="7">
        <f>D178+1000000*new_building_eurostat!$L26</f>
        <v>487588306</v>
      </c>
      <c r="F178" s="7">
        <f>E178+1000000*new_building_eurostat!$L26</f>
        <v>500388306</v>
      </c>
      <c r="G178" s="7">
        <f>F178+1000000*new_building_eurostat!$L26</f>
        <v>513188306</v>
      </c>
      <c r="H178" s="7">
        <f>G178+1000000*new_building_eurostat!$L26</f>
        <v>525988306</v>
      </c>
      <c r="I178" s="7">
        <f>H178+1000000*new_building_eurostat!$L26</f>
        <v>538788306</v>
      </c>
      <c r="J178" s="7">
        <f>I178+1000000*new_building_eurostat!$L26</f>
        <v>551588306</v>
      </c>
      <c r="K178" s="7">
        <f>J178+1000000*new_building_eurostat!$L26</f>
        <v>564388306</v>
      </c>
      <c r="L178" s="7">
        <f>K178+1000000*new_building_eurostat!$L26</f>
        <v>577188306</v>
      </c>
      <c r="M178" s="7">
        <f>L178+1000000*new_building_eurostat!$L26</f>
        <v>589988306</v>
      </c>
      <c r="N178" s="7">
        <f>M178+1000000*new_building_eurostat!$L26</f>
        <v>602788306</v>
      </c>
      <c r="O178" s="7">
        <f>N178+1000000*new_building_eurostat!$L26</f>
        <v>615588306</v>
      </c>
      <c r="P178" s="7">
        <f>O178+1000000*new_building_eurostat!$L26</f>
        <v>628388306</v>
      </c>
      <c r="Q178" s="7">
        <f>P178+1000000*new_building_eurostat!$L26</f>
        <v>641188306</v>
      </c>
      <c r="R178" s="7">
        <f>Q178+1000000*new_building_eurostat!$L26</f>
        <v>653988306</v>
      </c>
      <c r="S178" s="7">
        <f>R178+1000000*new_building_eurostat!$L26</f>
        <v>666788306</v>
      </c>
      <c r="T178" s="7">
        <f>S178+1000000*new_building_eurostat!$L26</f>
        <v>679588306</v>
      </c>
      <c r="U178" s="7">
        <f>T178+1000000*new_building_eurostat!$L26</f>
        <v>692388306</v>
      </c>
      <c r="V178" s="7">
        <f>U178+1000000*new_building_eurostat!$L26</f>
        <v>705188306</v>
      </c>
      <c r="W178" s="7">
        <f>V178+1000000*new_building_eurostat!$L26</f>
        <v>717988306</v>
      </c>
      <c r="X178" s="7">
        <f>W178+1000000*new_building_eurostat!$L26</f>
        <v>730788306</v>
      </c>
      <c r="Y178" s="7">
        <f>X178+1000000*new_building_eurostat!$L26</f>
        <v>743588306</v>
      </c>
      <c r="Z178" s="7">
        <f>Y178+1000000*new_building_eurostat!$L26</f>
        <v>756388306</v>
      </c>
      <c r="AA178" s="7">
        <f>Z178+1000000*new_building_eurostat!$L26</f>
        <v>769188306</v>
      </c>
      <c r="AB178" s="7">
        <f>AA178+1000000*new_building_eurostat!$L26</f>
        <v>781988306</v>
      </c>
      <c r="AC178" s="7">
        <f>AB178+1000000*new_building_eurostat!$L26</f>
        <v>794788306</v>
      </c>
      <c r="AD178" s="7">
        <f>AC178+1000000*new_building_eurostat!$L26</f>
        <v>807588306</v>
      </c>
      <c r="AE178" s="7">
        <f>AD178+1000000*new_building_eurostat!$L26</f>
        <v>820388306</v>
      </c>
      <c r="AF178" s="7">
        <f>AE178+1000000*new_building_eurostat!$L26</f>
        <v>833188306</v>
      </c>
      <c r="AG178" s="7">
        <f>AF178+1000000*new_building_eurostat!$L26</f>
        <v>845988306</v>
      </c>
      <c r="AH178" s="7">
        <f>AG178+1000000*new_building_eurostat!$L26</f>
        <v>858788306</v>
      </c>
      <c r="AI178" s="7">
        <f>AH178+1000000*new_building_eurostat!$L26</f>
        <v>871588306</v>
      </c>
      <c r="AJ178" s="7">
        <f>AI178+1000000*new_building_eurostat!$L26</f>
        <v>884388306</v>
      </c>
      <c r="AK178" s="7">
        <f>AJ178+1000000*new_building_eurostat!$L26</f>
        <v>897188306</v>
      </c>
      <c r="AL178" s="7">
        <f>AK178+1000000*new_building_eurostat!$L26</f>
        <v>909988306</v>
      </c>
      <c r="AM178" s="7">
        <f>AL178+1000000*new_building_eurostat!$L26</f>
        <v>922788306</v>
      </c>
      <c r="AN178" s="7">
        <f>AM178+1000000*new_building_eurostat!$L26</f>
        <v>935588306</v>
      </c>
      <c r="AO178" s="7">
        <f>AN178+1000000*new_building_eurostat!$L26</f>
        <v>948388306</v>
      </c>
      <c r="AP178" s="7">
        <f>AO178+1000000*new_building_eurostat!$L26</f>
        <v>961188306</v>
      </c>
      <c r="AQ178" s="29">
        <f>AP178+1000000*new_building_eurostat!$L26</f>
        <v>973988306</v>
      </c>
      <c r="AS178" s="7">
        <f t="shared" si="6"/>
        <v>3945758311</v>
      </c>
    </row>
    <row r="179" spans="1:45">
      <c r="A179" s="3" t="s">
        <v>41</v>
      </c>
      <c r="B179" s="2" t="s">
        <v>24</v>
      </c>
      <c r="C179" s="4">
        <v>6696633</v>
      </c>
      <c r="D179" s="7">
        <f>C179+1000000*new_building_eurostat!$L27</f>
        <v>8196633</v>
      </c>
      <c r="E179" s="7">
        <f>D179+1000000*new_building_eurostat!$L27</f>
        <v>9696633</v>
      </c>
      <c r="F179" s="7">
        <f>E179+1000000*new_building_eurostat!$L27</f>
        <v>11196633</v>
      </c>
      <c r="G179" s="7">
        <f>F179+1000000*new_building_eurostat!$L27</f>
        <v>12696633</v>
      </c>
      <c r="H179" s="7">
        <f>G179+1000000*new_building_eurostat!$L27</f>
        <v>14196633</v>
      </c>
      <c r="I179" s="7">
        <f>H179+1000000*new_building_eurostat!$L27</f>
        <v>15696633</v>
      </c>
      <c r="J179" s="7">
        <f>I179+1000000*new_building_eurostat!$L27</f>
        <v>17196633</v>
      </c>
      <c r="K179" s="7">
        <f>J179+1000000*new_building_eurostat!$L27</f>
        <v>18696633</v>
      </c>
      <c r="L179" s="7">
        <f>K179+1000000*new_building_eurostat!$L27</f>
        <v>20196633</v>
      </c>
      <c r="M179" s="7">
        <f>L179+1000000*new_building_eurostat!$L27</f>
        <v>21696633</v>
      </c>
      <c r="N179" s="7">
        <f>M179+1000000*new_building_eurostat!$L27</f>
        <v>23196633</v>
      </c>
      <c r="O179" s="7">
        <f>N179+1000000*new_building_eurostat!$L27</f>
        <v>24696633</v>
      </c>
      <c r="P179" s="7">
        <f>O179+1000000*new_building_eurostat!$L27</f>
        <v>26196633</v>
      </c>
      <c r="Q179" s="7">
        <f>P179+1000000*new_building_eurostat!$L27</f>
        <v>27696633</v>
      </c>
      <c r="R179" s="7">
        <f>Q179+1000000*new_building_eurostat!$L27</f>
        <v>29196633</v>
      </c>
      <c r="S179" s="7">
        <f>R179+1000000*new_building_eurostat!$L27</f>
        <v>30696633</v>
      </c>
      <c r="T179" s="7">
        <f>S179+1000000*new_building_eurostat!$L27</f>
        <v>32196633</v>
      </c>
      <c r="U179" s="7">
        <f>T179+1000000*new_building_eurostat!$L27</f>
        <v>33696633</v>
      </c>
      <c r="V179" s="7">
        <f>U179+1000000*new_building_eurostat!$L27</f>
        <v>35196633</v>
      </c>
      <c r="W179" s="7">
        <f>V179+1000000*new_building_eurostat!$L27</f>
        <v>36696633</v>
      </c>
      <c r="X179" s="7">
        <f>W179+1000000*new_building_eurostat!$L27</f>
        <v>38196633</v>
      </c>
      <c r="Y179" s="7">
        <f>X179+1000000*new_building_eurostat!$L27</f>
        <v>39696633</v>
      </c>
      <c r="Z179" s="7">
        <f>Y179+1000000*new_building_eurostat!$L27</f>
        <v>41196633</v>
      </c>
      <c r="AA179" s="7">
        <f>Z179+1000000*new_building_eurostat!$L27</f>
        <v>42696633</v>
      </c>
      <c r="AB179" s="7">
        <f>AA179+1000000*new_building_eurostat!$L27</f>
        <v>44196633</v>
      </c>
      <c r="AC179" s="7">
        <f>AB179+1000000*new_building_eurostat!$L27</f>
        <v>45696633</v>
      </c>
      <c r="AD179" s="7">
        <f>AC179+1000000*new_building_eurostat!$L27</f>
        <v>47196633</v>
      </c>
      <c r="AE179" s="7">
        <f>AD179+1000000*new_building_eurostat!$L27</f>
        <v>48696633</v>
      </c>
      <c r="AF179" s="7">
        <f>AE179+1000000*new_building_eurostat!$L27</f>
        <v>50196633</v>
      </c>
      <c r="AG179" s="7">
        <f>AF179+1000000*new_building_eurostat!$L27</f>
        <v>51696633</v>
      </c>
      <c r="AH179" s="7">
        <f>AG179+1000000*new_building_eurostat!$L27</f>
        <v>53196633</v>
      </c>
      <c r="AI179" s="7">
        <f>AH179+1000000*new_building_eurostat!$L27</f>
        <v>54696633</v>
      </c>
      <c r="AJ179" s="7">
        <f>AI179+1000000*new_building_eurostat!$L27</f>
        <v>56196633</v>
      </c>
      <c r="AK179" s="7">
        <f>AJ179+1000000*new_building_eurostat!$L27</f>
        <v>57696633</v>
      </c>
      <c r="AL179" s="7">
        <f>AK179+1000000*new_building_eurostat!$L27</f>
        <v>59196633</v>
      </c>
      <c r="AM179" s="7">
        <f>AL179+1000000*new_building_eurostat!$L27</f>
        <v>60696633</v>
      </c>
      <c r="AN179" s="7">
        <f>AM179+1000000*new_building_eurostat!$L27</f>
        <v>62196633</v>
      </c>
      <c r="AO179" s="7">
        <f>AN179+1000000*new_building_eurostat!$L27</f>
        <v>63696633</v>
      </c>
      <c r="AP179" s="7">
        <f>AO179+1000000*new_building_eurostat!$L27</f>
        <v>65196633</v>
      </c>
      <c r="AQ179" s="29">
        <f>AP179+1000000*new_building_eurostat!$L27</f>
        <v>66696633</v>
      </c>
      <c r="AS179" s="7">
        <f t="shared" si="6"/>
        <v>81728016</v>
      </c>
    </row>
    <row r="180" spans="1:45">
      <c r="A180" s="3" t="s">
        <v>41</v>
      </c>
      <c r="B180" s="2" t="s">
        <v>25</v>
      </c>
      <c r="C180" s="4">
        <v>14649745</v>
      </c>
      <c r="D180" s="7">
        <f>C180+1000000*new_building_eurostat!$L28</f>
        <v>17869745</v>
      </c>
      <c r="E180" s="7">
        <f>D180+1000000*new_building_eurostat!$L28</f>
        <v>21089745</v>
      </c>
      <c r="F180" s="7">
        <f>E180+1000000*new_building_eurostat!$L28</f>
        <v>24309745</v>
      </c>
      <c r="G180" s="7">
        <f>F180+1000000*new_building_eurostat!$L28</f>
        <v>27529745</v>
      </c>
      <c r="H180" s="7">
        <f>G180+1000000*new_building_eurostat!$L28</f>
        <v>30749745</v>
      </c>
      <c r="I180" s="7">
        <f>H180+1000000*new_building_eurostat!$L28</f>
        <v>33969745</v>
      </c>
      <c r="J180" s="7">
        <f>I180+1000000*new_building_eurostat!$L28</f>
        <v>37189745</v>
      </c>
      <c r="K180" s="7">
        <f>J180+1000000*new_building_eurostat!$L28</f>
        <v>40409745</v>
      </c>
      <c r="L180" s="7">
        <f>K180+1000000*new_building_eurostat!$L28</f>
        <v>43629745</v>
      </c>
      <c r="M180" s="7">
        <f>L180+1000000*new_building_eurostat!$L28</f>
        <v>46849745</v>
      </c>
      <c r="N180" s="7">
        <f>M180+1000000*new_building_eurostat!$L28</f>
        <v>50069745</v>
      </c>
      <c r="O180" s="7">
        <f>N180+1000000*new_building_eurostat!$L28</f>
        <v>53289745</v>
      </c>
      <c r="P180" s="7">
        <f>O180+1000000*new_building_eurostat!$L28</f>
        <v>56509745</v>
      </c>
      <c r="Q180" s="7">
        <f>P180+1000000*new_building_eurostat!$L28</f>
        <v>59729745</v>
      </c>
      <c r="R180" s="7">
        <f>Q180+1000000*new_building_eurostat!$L28</f>
        <v>62949745</v>
      </c>
      <c r="S180" s="7">
        <f>R180+1000000*new_building_eurostat!$L28</f>
        <v>66169745</v>
      </c>
      <c r="T180" s="7">
        <f>S180+1000000*new_building_eurostat!$L28</f>
        <v>69389745</v>
      </c>
      <c r="U180" s="7">
        <f>T180+1000000*new_building_eurostat!$L28</f>
        <v>72609745</v>
      </c>
      <c r="V180" s="7">
        <f>U180+1000000*new_building_eurostat!$L28</f>
        <v>75829745</v>
      </c>
      <c r="W180" s="7">
        <f>V180+1000000*new_building_eurostat!$L28</f>
        <v>79049745</v>
      </c>
      <c r="X180" s="7">
        <f>W180+1000000*new_building_eurostat!$L28</f>
        <v>82269745</v>
      </c>
      <c r="Y180" s="7">
        <f>X180+1000000*new_building_eurostat!$L28</f>
        <v>85489745</v>
      </c>
      <c r="Z180" s="7">
        <f>Y180+1000000*new_building_eurostat!$L28</f>
        <v>88709745</v>
      </c>
      <c r="AA180" s="7">
        <f>Z180+1000000*new_building_eurostat!$L28</f>
        <v>91929745</v>
      </c>
      <c r="AB180" s="7">
        <f>AA180+1000000*new_building_eurostat!$L28</f>
        <v>95149745</v>
      </c>
      <c r="AC180" s="7">
        <f>AB180+1000000*new_building_eurostat!$L28</f>
        <v>98369745</v>
      </c>
      <c r="AD180" s="7">
        <f>AC180+1000000*new_building_eurostat!$L28</f>
        <v>101589745</v>
      </c>
      <c r="AE180" s="7">
        <f>AD180+1000000*new_building_eurostat!$L28</f>
        <v>104809745</v>
      </c>
      <c r="AF180" s="7">
        <f>AE180+1000000*new_building_eurostat!$L28</f>
        <v>108029745</v>
      </c>
      <c r="AG180" s="7">
        <f>AF180+1000000*new_building_eurostat!$L28</f>
        <v>111249745</v>
      </c>
      <c r="AH180" s="7">
        <f>AG180+1000000*new_building_eurostat!$L28</f>
        <v>114469745</v>
      </c>
      <c r="AI180" s="7">
        <f>AH180+1000000*new_building_eurostat!$L28</f>
        <v>117689745</v>
      </c>
      <c r="AJ180" s="7">
        <f>AI180+1000000*new_building_eurostat!$L28</f>
        <v>120909745</v>
      </c>
      <c r="AK180" s="7">
        <f>AJ180+1000000*new_building_eurostat!$L28</f>
        <v>124129745</v>
      </c>
      <c r="AL180" s="7">
        <f>AK180+1000000*new_building_eurostat!$L28</f>
        <v>127349745</v>
      </c>
      <c r="AM180" s="7">
        <f>AL180+1000000*new_building_eurostat!$L28</f>
        <v>130569745</v>
      </c>
      <c r="AN180" s="7">
        <f>AM180+1000000*new_building_eurostat!$L28</f>
        <v>133789745</v>
      </c>
      <c r="AO180" s="7">
        <f>AN180+1000000*new_building_eurostat!$L28</f>
        <v>137009745</v>
      </c>
      <c r="AP180" s="7">
        <f>AO180+1000000*new_building_eurostat!$L28</f>
        <v>140229745</v>
      </c>
      <c r="AQ180" s="29">
        <f>AP180+1000000*new_building_eurostat!$L28</f>
        <v>143449745</v>
      </c>
      <c r="AS180" s="7">
        <f t="shared" si="6"/>
        <v>175643528</v>
      </c>
    </row>
    <row r="181" spans="1:45">
      <c r="A181" s="3" t="s">
        <v>41</v>
      </c>
      <c r="B181" s="2" t="s">
        <v>26</v>
      </c>
      <c r="C181" s="4">
        <v>3461902</v>
      </c>
      <c r="D181" s="7">
        <f>C181+1000000*new_building_eurostat!$L29</f>
        <v>4736902</v>
      </c>
      <c r="E181" s="7">
        <f>D181+1000000*new_building_eurostat!$L29</f>
        <v>6011902</v>
      </c>
      <c r="F181" s="7">
        <f>E181+1000000*new_building_eurostat!$L29</f>
        <v>7286902</v>
      </c>
      <c r="G181" s="7">
        <f>F181+1000000*new_building_eurostat!$L29</f>
        <v>8561902</v>
      </c>
      <c r="H181" s="7">
        <f>G181+1000000*new_building_eurostat!$L29</f>
        <v>9836902</v>
      </c>
      <c r="I181" s="7">
        <f>H181+1000000*new_building_eurostat!$L29</f>
        <v>11111902</v>
      </c>
      <c r="J181" s="7">
        <f>I181+1000000*new_building_eurostat!$L29</f>
        <v>12386902</v>
      </c>
      <c r="K181" s="7">
        <f>J181+1000000*new_building_eurostat!$L29</f>
        <v>13661902</v>
      </c>
      <c r="L181" s="7">
        <f>K181+1000000*new_building_eurostat!$L29</f>
        <v>14936902</v>
      </c>
      <c r="M181" s="7">
        <f>L181+1000000*new_building_eurostat!$L29</f>
        <v>16211902</v>
      </c>
      <c r="N181" s="7">
        <f>M181+1000000*new_building_eurostat!$L29</f>
        <v>17486902</v>
      </c>
      <c r="O181" s="7">
        <f>N181+1000000*new_building_eurostat!$L29</f>
        <v>18761902</v>
      </c>
      <c r="P181" s="7">
        <f>O181+1000000*new_building_eurostat!$L29</f>
        <v>20036902</v>
      </c>
      <c r="Q181" s="7">
        <f>P181+1000000*new_building_eurostat!$L29</f>
        <v>21311902</v>
      </c>
      <c r="R181" s="7">
        <f>Q181+1000000*new_building_eurostat!$L29</f>
        <v>22586902</v>
      </c>
      <c r="S181" s="7">
        <f>R181+1000000*new_building_eurostat!$L29</f>
        <v>23861902</v>
      </c>
      <c r="T181" s="7">
        <f>S181+1000000*new_building_eurostat!$L29</f>
        <v>25136902</v>
      </c>
      <c r="U181" s="7">
        <f>T181+1000000*new_building_eurostat!$L29</f>
        <v>26411902</v>
      </c>
      <c r="V181" s="7">
        <f>U181+1000000*new_building_eurostat!$L29</f>
        <v>27686902</v>
      </c>
      <c r="W181" s="7">
        <f>V181+1000000*new_building_eurostat!$L29</f>
        <v>28961902</v>
      </c>
      <c r="X181" s="7">
        <f>W181+1000000*new_building_eurostat!$L29</f>
        <v>30236902</v>
      </c>
      <c r="Y181" s="7">
        <f>X181+1000000*new_building_eurostat!$L29</f>
        <v>31511902</v>
      </c>
      <c r="Z181" s="7">
        <f>Y181+1000000*new_building_eurostat!$L29</f>
        <v>32786902</v>
      </c>
      <c r="AA181" s="7">
        <f>Z181+1000000*new_building_eurostat!$L29</f>
        <v>34061902</v>
      </c>
      <c r="AB181" s="7">
        <f>AA181+1000000*new_building_eurostat!$L29</f>
        <v>35336902</v>
      </c>
      <c r="AC181" s="7">
        <f>AB181+1000000*new_building_eurostat!$L29</f>
        <v>36611902</v>
      </c>
      <c r="AD181" s="7">
        <f>AC181+1000000*new_building_eurostat!$L29</f>
        <v>37886902</v>
      </c>
      <c r="AE181" s="7">
        <f>AD181+1000000*new_building_eurostat!$L29</f>
        <v>39161902</v>
      </c>
      <c r="AF181" s="7">
        <f>AE181+1000000*new_building_eurostat!$L29</f>
        <v>40436902</v>
      </c>
      <c r="AG181" s="7">
        <f>AF181+1000000*new_building_eurostat!$L29</f>
        <v>41711902</v>
      </c>
      <c r="AH181" s="7">
        <f>AG181+1000000*new_building_eurostat!$L29</f>
        <v>42986902</v>
      </c>
      <c r="AI181" s="7">
        <f>AH181+1000000*new_building_eurostat!$L29</f>
        <v>44261902</v>
      </c>
      <c r="AJ181" s="7">
        <f>AI181+1000000*new_building_eurostat!$L29</f>
        <v>45536902</v>
      </c>
      <c r="AK181" s="7">
        <f>AJ181+1000000*new_building_eurostat!$L29</f>
        <v>46811902</v>
      </c>
      <c r="AL181" s="7">
        <f>AK181+1000000*new_building_eurostat!$L29</f>
        <v>48086902</v>
      </c>
      <c r="AM181" s="7">
        <f>AL181+1000000*new_building_eurostat!$L29</f>
        <v>49361902</v>
      </c>
      <c r="AN181" s="7">
        <f>AM181+1000000*new_building_eurostat!$L29</f>
        <v>50636902</v>
      </c>
      <c r="AO181" s="7">
        <f>AN181+1000000*new_building_eurostat!$L29</f>
        <v>51911902</v>
      </c>
      <c r="AP181" s="7">
        <f>AO181+1000000*new_building_eurostat!$L29</f>
        <v>53186902</v>
      </c>
      <c r="AQ181" s="29">
        <f>AP181+1000000*new_building_eurostat!$L29</f>
        <v>54461902</v>
      </c>
      <c r="AS181" s="7">
        <f t="shared" si="6"/>
        <v>38106262</v>
      </c>
    </row>
    <row r="182" spans="1:45">
      <c r="A182" s="3" t="s">
        <v>41</v>
      </c>
      <c r="B182" s="2" t="s">
        <v>27</v>
      </c>
      <c r="C182" s="4">
        <v>1450426</v>
      </c>
      <c r="D182" s="7">
        <f>C182+1000000*new_building_eurostat!$L30</f>
        <v>3390426</v>
      </c>
      <c r="E182" s="7">
        <f>D182+1000000*new_building_eurostat!$L30</f>
        <v>5330426</v>
      </c>
      <c r="F182" s="7">
        <f>E182+1000000*new_building_eurostat!$L30</f>
        <v>7270426</v>
      </c>
      <c r="G182" s="7">
        <f>F182+1000000*new_building_eurostat!$L30</f>
        <v>9210426</v>
      </c>
      <c r="H182" s="7">
        <f>G182+1000000*new_building_eurostat!$L30</f>
        <v>11150426</v>
      </c>
      <c r="I182" s="7">
        <f>H182+1000000*new_building_eurostat!$L30</f>
        <v>13090426</v>
      </c>
      <c r="J182" s="7">
        <f>I182+1000000*new_building_eurostat!$L30</f>
        <v>15030426</v>
      </c>
      <c r="K182" s="7">
        <f>J182+1000000*new_building_eurostat!$L30</f>
        <v>16970426</v>
      </c>
      <c r="L182" s="7">
        <f>K182+1000000*new_building_eurostat!$L30</f>
        <v>18910426</v>
      </c>
      <c r="M182" s="7">
        <f>L182+1000000*new_building_eurostat!$L30</f>
        <v>20850426</v>
      </c>
      <c r="N182" s="7">
        <f>M182+1000000*new_building_eurostat!$L30</f>
        <v>22790426</v>
      </c>
      <c r="O182" s="7">
        <f>N182+1000000*new_building_eurostat!$L30</f>
        <v>24730426</v>
      </c>
      <c r="P182" s="7">
        <f>O182+1000000*new_building_eurostat!$L30</f>
        <v>26670426</v>
      </c>
      <c r="Q182" s="7">
        <f>P182+1000000*new_building_eurostat!$L30</f>
        <v>28610426</v>
      </c>
      <c r="R182" s="7">
        <f>Q182+1000000*new_building_eurostat!$L30</f>
        <v>30550426</v>
      </c>
      <c r="S182" s="7">
        <f>R182+1000000*new_building_eurostat!$L30</f>
        <v>32490426</v>
      </c>
      <c r="T182" s="7">
        <f>S182+1000000*new_building_eurostat!$L30</f>
        <v>34430426</v>
      </c>
      <c r="U182" s="7">
        <f>T182+1000000*new_building_eurostat!$L30</f>
        <v>36370426</v>
      </c>
      <c r="V182" s="7">
        <f>U182+1000000*new_building_eurostat!$L30</f>
        <v>38310426</v>
      </c>
      <c r="W182" s="7">
        <f>V182+1000000*new_building_eurostat!$L30</f>
        <v>40250426</v>
      </c>
      <c r="X182" s="7">
        <f>W182+1000000*new_building_eurostat!$L30</f>
        <v>42190426</v>
      </c>
      <c r="Y182" s="7">
        <f>X182+1000000*new_building_eurostat!$L30</f>
        <v>44130426</v>
      </c>
      <c r="Z182" s="7">
        <f>Y182+1000000*new_building_eurostat!$L30</f>
        <v>46070426</v>
      </c>
      <c r="AA182" s="7">
        <f>Z182+1000000*new_building_eurostat!$L30</f>
        <v>48010426</v>
      </c>
      <c r="AB182" s="7">
        <f>AA182+1000000*new_building_eurostat!$L30</f>
        <v>49950426</v>
      </c>
      <c r="AC182" s="7">
        <f>AB182+1000000*new_building_eurostat!$L30</f>
        <v>51890426</v>
      </c>
      <c r="AD182" s="7">
        <f>AC182+1000000*new_building_eurostat!$L30</f>
        <v>53830426</v>
      </c>
      <c r="AE182" s="7">
        <f>AD182+1000000*new_building_eurostat!$L30</f>
        <v>55770426</v>
      </c>
      <c r="AF182" s="7">
        <f>AE182+1000000*new_building_eurostat!$L30</f>
        <v>57710426</v>
      </c>
      <c r="AG182" s="7">
        <f>AF182+1000000*new_building_eurostat!$L30</f>
        <v>59650426</v>
      </c>
      <c r="AH182" s="7">
        <f>AG182+1000000*new_building_eurostat!$L30</f>
        <v>61590426</v>
      </c>
      <c r="AI182" s="7">
        <f>AH182+1000000*new_building_eurostat!$L30</f>
        <v>63530426</v>
      </c>
      <c r="AJ182" s="7">
        <f>AI182+1000000*new_building_eurostat!$L30</f>
        <v>65470426</v>
      </c>
      <c r="AK182" s="7">
        <f>AJ182+1000000*new_building_eurostat!$L30</f>
        <v>67410426</v>
      </c>
      <c r="AL182" s="7">
        <f>AK182+1000000*new_building_eurostat!$L30</f>
        <v>69350426</v>
      </c>
      <c r="AM182" s="7">
        <f>AL182+1000000*new_building_eurostat!$L30</f>
        <v>71290426</v>
      </c>
      <c r="AN182" s="7">
        <f>AM182+1000000*new_building_eurostat!$L30</f>
        <v>73230426</v>
      </c>
      <c r="AO182" s="7">
        <f>AN182+1000000*new_building_eurostat!$L30</f>
        <v>75170426</v>
      </c>
      <c r="AP182" s="7">
        <f>AO182+1000000*new_building_eurostat!$L30</f>
        <v>77110426</v>
      </c>
      <c r="AQ182" s="29">
        <f>AP182+1000000*new_building_eurostat!$L30</f>
        <v>79050426</v>
      </c>
      <c r="AS182" s="7">
        <f t="shared" si="6"/>
        <v>27380138</v>
      </c>
    </row>
    <row r="183" spans="1:45">
      <c r="A183" s="3" t="s">
        <v>41</v>
      </c>
      <c r="B183" s="2" t="s">
        <v>28</v>
      </c>
      <c r="C183" s="4">
        <v>49505370</v>
      </c>
      <c r="D183" s="7">
        <f>C183+1000000*new_building_eurostat!$L31</f>
        <v>68465370</v>
      </c>
      <c r="E183" s="7">
        <f>D183+1000000*new_building_eurostat!$L31</f>
        <v>87425370</v>
      </c>
      <c r="F183" s="7">
        <f>E183+1000000*new_building_eurostat!$L31</f>
        <v>106385370</v>
      </c>
      <c r="G183" s="7">
        <f>F183+1000000*new_building_eurostat!$L31</f>
        <v>125345370</v>
      </c>
      <c r="H183" s="7">
        <f>G183+1000000*new_building_eurostat!$L31</f>
        <v>144305370</v>
      </c>
      <c r="I183" s="7">
        <f>H183+1000000*new_building_eurostat!$L31</f>
        <v>163265370</v>
      </c>
      <c r="J183" s="7">
        <f>I183+1000000*new_building_eurostat!$L31</f>
        <v>182225370</v>
      </c>
      <c r="K183" s="7">
        <f>J183+1000000*new_building_eurostat!$L31</f>
        <v>201185370</v>
      </c>
      <c r="L183" s="7">
        <f>K183+1000000*new_building_eurostat!$L31</f>
        <v>220145370</v>
      </c>
      <c r="M183" s="7">
        <f>L183+1000000*new_building_eurostat!$L31</f>
        <v>239105370</v>
      </c>
      <c r="N183" s="7">
        <f>M183+1000000*new_building_eurostat!$L31</f>
        <v>258065370</v>
      </c>
      <c r="O183" s="7">
        <f>N183+1000000*new_building_eurostat!$L31</f>
        <v>277025370</v>
      </c>
      <c r="P183" s="7">
        <f>O183+1000000*new_building_eurostat!$L31</f>
        <v>295985370</v>
      </c>
      <c r="Q183" s="7">
        <f>P183+1000000*new_building_eurostat!$L31</f>
        <v>314945370</v>
      </c>
      <c r="R183" s="7">
        <f>Q183+1000000*new_building_eurostat!$L31</f>
        <v>333905370</v>
      </c>
      <c r="S183" s="7">
        <f>R183+1000000*new_building_eurostat!$L31</f>
        <v>352865370</v>
      </c>
      <c r="T183" s="7">
        <f>S183+1000000*new_building_eurostat!$L31</f>
        <v>371825370</v>
      </c>
      <c r="U183" s="7">
        <f>T183+1000000*new_building_eurostat!$L31</f>
        <v>390785370</v>
      </c>
      <c r="V183" s="7">
        <f>U183+1000000*new_building_eurostat!$L31</f>
        <v>409745370</v>
      </c>
      <c r="W183" s="7">
        <f>V183+1000000*new_building_eurostat!$L31</f>
        <v>428705370</v>
      </c>
      <c r="X183" s="7">
        <f>W183+1000000*new_building_eurostat!$L31</f>
        <v>447665370</v>
      </c>
      <c r="Y183" s="7">
        <f>X183+1000000*new_building_eurostat!$L31</f>
        <v>466625370</v>
      </c>
      <c r="Z183" s="7">
        <f>Y183+1000000*new_building_eurostat!$L31</f>
        <v>485585370</v>
      </c>
      <c r="AA183" s="7">
        <f>Z183+1000000*new_building_eurostat!$L31</f>
        <v>504545370</v>
      </c>
      <c r="AB183" s="7">
        <f>AA183+1000000*new_building_eurostat!$L31</f>
        <v>523505370</v>
      </c>
      <c r="AC183" s="7">
        <f>AB183+1000000*new_building_eurostat!$L31</f>
        <v>542465370</v>
      </c>
      <c r="AD183" s="7">
        <f>AC183+1000000*new_building_eurostat!$L31</f>
        <v>561425370</v>
      </c>
      <c r="AE183" s="7">
        <f>AD183+1000000*new_building_eurostat!$L31</f>
        <v>580385370</v>
      </c>
      <c r="AF183" s="7">
        <f>AE183+1000000*new_building_eurostat!$L31</f>
        <v>599345370</v>
      </c>
      <c r="AG183" s="7">
        <f>AF183+1000000*new_building_eurostat!$L31</f>
        <v>618305370</v>
      </c>
      <c r="AH183" s="7">
        <f>AG183+1000000*new_building_eurostat!$L31</f>
        <v>637265370</v>
      </c>
      <c r="AI183" s="7">
        <f>AH183+1000000*new_building_eurostat!$L31</f>
        <v>656225370</v>
      </c>
      <c r="AJ183" s="7">
        <f>AI183+1000000*new_building_eurostat!$L31</f>
        <v>675185370</v>
      </c>
      <c r="AK183" s="7">
        <f>AJ183+1000000*new_building_eurostat!$L31</f>
        <v>694145370</v>
      </c>
      <c r="AL183" s="7">
        <f>AK183+1000000*new_building_eurostat!$L31</f>
        <v>713105370</v>
      </c>
      <c r="AM183" s="7">
        <f>AL183+1000000*new_building_eurostat!$L31</f>
        <v>732065370</v>
      </c>
      <c r="AN183" s="7">
        <f>AM183+1000000*new_building_eurostat!$L31</f>
        <v>751025370</v>
      </c>
      <c r="AO183" s="7">
        <f>AN183+1000000*new_building_eurostat!$L31</f>
        <v>769985370</v>
      </c>
      <c r="AP183" s="7">
        <f>AO183+1000000*new_building_eurostat!$L31</f>
        <v>788945370</v>
      </c>
      <c r="AQ183" s="29">
        <f>AP183+1000000*new_building_eurostat!$L31</f>
        <v>807905370</v>
      </c>
      <c r="AS183" s="7">
        <f t="shared" si="6"/>
        <v>1124017845</v>
      </c>
    </row>
    <row r="184" spans="1:45">
      <c r="A184" s="3" t="s">
        <v>41</v>
      </c>
      <c r="B184" s="2" t="s">
        <v>29</v>
      </c>
      <c r="C184" s="4">
        <v>141762835</v>
      </c>
      <c r="D184" s="7">
        <f>C184+1000000*new_building_eurostat!$L33</f>
        <v>185362835</v>
      </c>
      <c r="E184" s="7">
        <f>D184+1000000*new_building_eurostat!$L33</f>
        <v>228962835</v>
      </c>
      <c r="F184" s="7">
        <f>E184+1000000*new_building_eurostat!$L33</f>
        <v>272562835</v>
      </c>
      <c r="G184" s="7">
        <f>F184+1000000*new_building_eurostat!$L33</f>
        <v>316162835</v>
      </c>
      <c r="H184" s="7">
        <f>G184+1000000*new_building_eurostat!$L33</f>
        <v>359762835</v>
      </c>
      <c r="I184" s="7">
        <f>H184+1000000*new_building_eurostat!$L33</f>
        <v>403362835</v>
      </c>
      <c r="J184" s="7">
        <f>I184+1000000*new_building_eurostat!$L33</f>
        <v>446962835</v>
      </c>
      <c r="K184" s="7">
        <f>J184+1000000*new_building_eurostat!$L33</f>
        <v>490562835</v>
      </c>
      <c r="L184" s="7">
        <f>K184+1000000*new_building_eurostat!$L33</f>
        <v>534162835</v>
      </c>
      <c r="M184" s="7">
        <f>L184+1000000*new_building_eurostat!$L33</f>
        <v>577762835</v>
      </c>
      <c r="N184" s="7">
        <f>M184+1000000*new_building_eurostat!$L33</f>
        <v>621362835</v>
      </c>
      <c r="O184" s="7">
        <f>N184+1000000*new_building_eurostat!$L33</f>
        <v>664962835</v>
      </c>
      <c r="P184" s="7">
        <f>O184+1000000*new_building_eurostat!$L33</f>
        <v>708562835</v>
      </c>
      <c r="Q184" s="7">
        <f>P184+1000000*new_building_eurostat!$L33</f>
        <v>752162835</v>
      </c>
      <c r="R184" s="7">
        <f>Q184+1000000*new_building_eurostat!$L33</f>
        <v>795762835</v>
      </c>
      <c r="S184" s="7">
        <f>R184+1000000*new_building_eurostat!$L33</f>
        <v>839362835</v>
      </c>
      <c r="T184" s="7">
        <f>S184+1000000*new_building_eurostat!$L33</f>
        <v>882962835</v>
      </c>
      <c r="U184" s="7">
        <f>T184+1000000*new_building_eurostat!$L33</f>
        <v>926562835</v>
      </c>
      <c r="V184" s="7">
        <f>U184+1000000*new_building_eurostat!$L33</f>
        <v>970162835</v>
      </c>
      <c r="W184" s="7">
        <f>V184+1000000*new_building_eurostat!$L33</f>
        <v>1013762835</v>
      </c>
      <c r="X184" s="7">
        <f>W184+1000000*new_building_eurostat!$L33</f>
        <v>1057362835</v>
      </c>
      <c r="Y184" s="7">
        <f>X184+1000000*new_building_eurostat!$L33</f>
        <v>1100962835</v>
      </c>
      <c r="Z184" s="7">
        <f>Y184+1000000*new_building_eurostat!$L33</f>
        <v>1144562835</v>
      </c>
      <c r="AA184" s="7">
        <f>Z184+1000000*new_building_eurostat!$L33</f>
        <v>1188162835</v>
      </c>
      <c r="AB184" s="7">
        <f>AA184+1000000*new_building_eurostat!$L33</f>
        <v>1231762835</v>
      </c>
      <c r="AC184" s="7">
        <f>AB184+1000000*new_building_eurostat!$L33</f>
        <v>1275362835</v>
      </c>
      <c r="AD184" s="7">
        <f>AC184+1000000*new_building_eurostat!$L33</f>
        <v>1318962835</v>
      </c>
      <c r="AE184" s="7">
        <f>AD184+1000000*new_building_eurostat!$L33</f>
        <v>1362562835</v>
      </c>
      <c r="AF184" s="7">
        <f>AE184+1000000*new_building_eurostat!$L33</f>
        <v>1406162835</v>
      </c>
      <c r="AG184" s="7">
        <f>AF184+1000000*new_building_eurostat!$L33</f>
        <v>1449762835</v>
      </c>
      <c r="AH184" s="7">
        <f>AG184+1000000*new_building_eurostat!$L33</f>
        <v>1493362835</v>
      </c>
      <c r="AI184" s="7">
        <f>AH184+1000000*new_building_eurostat!$L33</f>
        <v>1536962835</v>
      </c>
      <c r="AJ184" s="7">
        <f>AI184+1000000*new_building_eurostat!$L33</f>
        <v>1580562835</v>
      </c>
      <c r="AK184" s="7">
        <f>AJ184+1000000*new_building_eurostat!$L33</f>
        <v>1624162835</v>
      </c>
      <c r="AL184" s="7">
        <f>AK184+1000000*new_building_eurostat!$L33</f>
        <v>1667762835</v>
      </c>
      <c r="AM184" s="7">
        <f>AL184+1000000*new_building_eurostat!$L33</f>
        <v>1711362835</v>
      </c>
      <c r="AN184" s="7">
        <f>AM184+1000000*new_building_eurostat!$L33</f>
        <v>1754962835</v>
      </c>
      <c r="AO184" s="7">
        <f>AN184+1000000*new_building_eurostat!$L33</f>
        <v>1798562835</v>
      </c>
      <c r="AP184" s="7">
        <f>AO184+1000000*new_building_eurostat!$L33</f>
        <v>1842162835</v>
      </c>
      <c r="AQ184" s="29">
        <f>AP184+1000000*new_building_eurostat!$L33</f>
        <v>1885762835</v>
      </c>
      <c r="AS184" s="7">
        <f t="shared" si="6"/>
        <v>1472467839</v>
      </c>
    </row>
    <row r="185" spans="1:45">
      <c r="A185" s="3" t="s">
        <v>41</v>
      </c>
      <c r="B185" s="2" t="s">
        <v>30</v>
      </c>
      <c r="C185" s="4">
        <v>59445738</v>
      </c>
      <c r="D185" s="7">
        <f>C185+1000000*new_building_eurostat!$L34</f>
        <v>69565738</v>
      </c>
      <c r="E185" s="7">
        <f>D185+1000000*new_building_eurostat!$L34</f>
        <v>79685738</v>
      </c>
      <c r="F185" s="7">
        <f>E185+1000000*new_building_eurostat!$L34</f>
        <v>89805738</v>
      </c>
      <c r="G185" s="7">
        <f>F185+1000000*new_building_eurostat!$L34</f>
        <v>99925738</v>
      </c>
      <c r="H185" s="7">
        <f>G185+1000000*new_building_eurostat!$L34</f>
        <v>110045738</v>
      </c>
      <c r="I185" s="7">
        <f>H185+1000000*new_building_eurostat!$L34</f>
        <v>120165738</v>
      </c>
      <c r="J185" s="7">
        <f>I185+1000000*new_building_eurostat!$L34</f>
        <v>130285738</v>
      </c>
      <c r="K185" s="7">
        <f>J185+1000000*new_building_eurostat!$L34</f>
        <v>140405738</v>
      </c>
      <c r="L185" s="7">
        <f>K185+1000000*new_building_eurostat!$L34</f>
        <v>150525738</v>
      </c>
      <c r="M185" s="7">
        <f>L185+1000000*new_building_eurostat!$L34</f>
        <v>160645738</v>
      </c>
      <c r="N185" s="7">
        <f>M185+1000000*new_building_eurostat!$L34</f>
        <v>170765738</v>
      </c>
      <c r="O185" s="7">
        <f>N185+1000000*new_building_eurostat!$L34</f>
        <v>180885738</v>
      </c>
      <c r="P185" s="7">
        <f>O185+1000000*new_building_eurostat!$L34</f>
        <v>191005738</v>
      </c>
      <c r="Q185" s="7">
        <f>P185+1000000*new_building_eurostat!$L34</f>
        <v>201125738</v>
      </c>
      <c r="R185" s="7">
        <f>Q185+1000000*new_building_eurostat!$L34</f>
        <v>211245738</v>
      </c>
      <c r="S185" s="7">
        <f>R185+1000000*new_building_eurostat!$L34</f>
        <v>221365738</v>
      </c>
      <c r="T185" s="7">
        <f>S185+1000000*new_building_eurostat!$L34</f>
        <v>231485738</v>
      </c>
      <c r="U185" s="7">
        <f>T185+1000000*new_building_eurostat!$L34</f>
        <v>241605738</v>
      </c>
      <c r="V185" s="7">
        <f>U185+1000000*new_building_eurostat!$L34</f>
        <v>251725738</v>
      </c>
      <c r="W185" s="7">
        <f>V185+1000000*new_building_eurostat!$L34</f>
        <v>261845738</v>
      </c>
      <c r="X185" s="7">
        <f>W185+1000000*new_building_eurostat!$L34</f>
        <v>271965738</v>
      </c>
      <c r="Y185" s="7">
        <f>X185+1000000*new_building_eurostat!$L34</f>
        <v>282085738</v>
      </c>
      <c r="Z185" s="7">
        <f>Y185+1000000*new_building_eurostat!$L34</f>
        <v>292205738</v>
      </c>
      <c r="AA185" s="7">
        <f>Z185+1000000*new_building_eurostat!$L34</f>
        <v>302325738</v>
      </c>
      <c r="AB185" s="7">
        <f>AA185+1000000*new_building_eurostat!$L34</f>
        <v>312445738</v>
      </c>
      <c r="AC185" s="7">
        <f>AB185+1000000*new_building_eurostat!$L34</f>
        <v>322565738</v>
      </c>
      <c r="AD185" s="7">
        <f>AC185+1000000*new_building_eurostat!$L34</f>
        <v>332685738</v>
      </c>
      <c r="AE185" s="7">
        <f>AD185+1000000*new_building_eurostat!$L34</f>
        <v>342805738</v>
      </c>
      <c r="AF185" s="7">
        <f>AE185+1000000*new_building_eurostat!$L34</f>
        <v>352925738</v>
      </c>
      <c r="AG185" s="7">
        <f>AF185+1000000*new_building_eurostat!$L34</f>
        <v>363045738</v>
      </c>
      <c r="AH185" s="7">
        <f>AG185+1000000*new_building_eurostat!$L34</f>
        <v>373165738</v>
      </c>
      <c r="AI185" s="7">
        <f>AH185+1000000*new_building_eurostat!$L34</f>
        <v>383285738</v>
      </c>
      <c r="AJ185" s="7">
        <f>AI185+1000000*new_building_eurostat!$L34</f>
        <v>393405738</v>
      </c>
      <c r="AK185" s="7">
        <f>AJ185+1000000*new_building_eurostat!$L34</f>
        <v>403525738</v>
      </c>
      <c r="AL185" s="7">
        <f>AK185+1000000*new_building_eurostat!$L34</f>
        <v>413645738</v>
      </c>
      <c r="AM185" s="7">
        <f>AL185+1000000*new_building_eurostat!$L34</f>
        <v>423765738</v>
      </c>
      <c r="AN185" s="7">
        <f>AM185+1000000*new_building_eurostat!$L34</f>
        <v>433885738</v>
      </c>
      <c r="AO185" s="7">
        <f>AN185+1000000*new_building_eurostat!$L34</f>
        <v>444005738</v>
      </c>
      <c r="AP185" s="7">
        <f>AO185+1000000*new_building_eurostat!$L34</f>
        <v>454125738</v>
      </c>
      <c r="AQ185" s="29">
        <f>AP185+1000000*new_building_eurostat!$L34</f>
        <v>464245738</v>
      </c>
      <c r="AS185" s="7">
        <f t="shared" si="6"/>
        <v>794563387</v>
      </c>
    </row>
    <row r="186" spans="1:45">
      <c r="A186" s="3" t="s">
        <v>41</v>
      </c>
      <c r="B186" s="2" t="s">
        <v>31</v>
      </c>
      <c r="C186" s="4">
        <v>50375219</v>
      </c>
      <c r="D186" s="7">
        <f>C186+1000000*new_building_eurostat!$L35</f>
        <v>64235219</v>
      </c>
      <c r="E186" s="7">
        <f>D186+1000000*new_building_eurostat!$L35</f>
        <v>78095219</v>
      </c>
      <c r="F186" s="7">
        <f>E186+1000000*new_building_eurostat!$L35</f>
        <v>91955219</v>
      </c>
      <c r="G186" s="7">
        <f>F186+1000000*new_building_eurostat!$L35</f>
        <v>105815219</v>
      </c>
      <c r="H186" s="7">
        <f>G186+1000000*new_building_eurostat!$L35</f>
        <v>119675219</v>
      </c>
      <c r="I186" s="7">
        <f>H186+1000000*new_building_eurostat!$L35</f>
        <v>133535219</v>
      </c>
      <c r="J186" s="7">
        <f>I186+1000000*new_building_eurostat!$L35</f>
        <v>147395219</v>
      </c>
      <c r="K186" s="7">
        <f>J186+1000000*new_building_eurostat!$L35</f>
        <v>161255219</v>
      </c>
      <c r="L186" s="7">
        <f>K186+1000000*new_building_eurostat!$L35</f>
        <v>175115219</v>
      </c>
      <c r="M186" s="7">
        <f>L186+1000000*new_building_eurostat!$L35</f>
        <v>188975219</v>
      </c>
      <c r="N186" s="7">
        <f>M186+1000000*new_building_eurostat!$L35</f>
        <v>202835219</v>
      </c>
      <c r="O186" s="7">
        <f>N186+1000000*new_building_eurostat!$L35</f>
        <v>216695219</v>
      </c>
      <c r="P186" s="7">
        <f>O186+1000000*new_building_eurostat!$L35</f>
        <v>230555219</v>
      </c>
      <c r="Q186" s="7">
        <f>P186+1000000*new_building_eurostat!$L35</f>
        <v>244415219</v>
      </c>
      <c r="R186" s="7">
        <f>Q186+1000000*new_building_eurostat!$L35</f>
        <v>258275219</v>
      </c>
      <c r="S186" s="7">
        <f>R186+1000000*new_building_eurostat!$L35</f>
        <v>272135219</v>
      </c>
      <c r="T186" s="7">
        <f>S186+1000000*new_building_eurostat!$L35</f>
        <v>285995219</v>
      </c>
      <c r="U186" s="7">
        <f>T186+1000000*new_building_eurostat!$L35</f>
        <v>299855219</v>
      </c>
      <c r="V186" s="7">
        <f>U186+1000000*new_building_eurostat!$L35</f>
        <v>313715219</v>
      </c>
      <c r="W186" s="7">
        <f>V186+1000000*new_building_eurostat!$L35</f>
        <v>327575219</v>
      </c>
      <c r="X186" s="7">
        <f>W186+1000000*new_building_eurostat!$L35</f>
        <v>341435219</v>
      </c>
      <c r="Y186" s="7">
        <f>X186+1000000*new_building_eurostat!$L35</f>
        <v>355295219</v>
      </c>
      <c r="Z186" s="7">
        <f>Y186+1000000*new_building_eurostat!$L35</f>
        <v>369155219</v>
      </c>
      <c r="AA186" s="7">
        <f>Z186+1000000*new_building_eurostat!$L35</f>
        <v>383015219</v>
      </c>
      <c r="AB186" s="7">
        <f>AA186+1000000*new_building_eurostat!$L35</f>
        <v>396875219</v>
      </c>
      <c r="AC186" s="7">
        <f>AB186+1000000*new_building_eurostat!$L35</f>
        <v>410735219</v>
      </c>
      <c r="AD186" s="7">
        <f>AC186+1000000*new_building_eurostat!$L35</f>
        <v>424595219</v>
      </c>
      <c r="AE186" s="7">
        <f>AD186+1000000*new_building_eurostat!$L35</f>
        <v>438455219</v>
      </c>
      <c r="AF186" s="7">
        <f>AE186+1000000*new_building_eurostat!$L35</f>
        <v>452315219</v>
      </c>
      <c r="AG186" s="7">
        <f>AF186+1000000*new_building_eurostat!$L35</f>
        <v>466175219</v>
      </c>
      <c r="AH186" s="7">
        <f>AG186+1000000*new_building_eurostat!$L35</f>
        <v>480035219</v>
      </c>
      <c r="AI186" s="7">
        <f>AH186+1000000*new_building_eurostat!$L35</f>
        <v>493895219</v>
      </c>
      <c r="AJ186" s="7">
        <f>AI186+1000000*new_building_eurostat!$L35</f>
        <v>507755219</v>
      </c>
      <c r="AK186" s="7">
        <f>AJ186+1000000*new_building_eurostat!$L35</f>
        <v>521615219</v>
      </c>
      <c r="AL186" s="7">
        <f>AK186+1000000*new_building_eurostat!$L35</f>
        <v>535475219</v>
      </c>
      <c r="AM186" s="7">
        <f>AL186+1000000*new_building_eurostat!$L35</f>
        <v>549335219</v>
      </c>
      <c r="AN186" s="7">
        <f>AM186+1000000*new_building_eurostat!$L35</f>
        <v>563195219</v>
      </c>
      <c r="AO186" s="7">
        <f>AN186+1000000*new_building_eurostat!$L35</f>
        <v>577055219</v>
      </c>
      <c r="AP186" s="7">
        <f>AO186+1000000*new_building_eurostat!$L35</f>
        <v>590915219</v>
      </c>
      <c r="AQ186" s="29">
        <f>AP186+1000000*new_building_eurostat!$L35</f>
        <v>604775219</v>
      </c>
      <c r="AS186" s="7">
        <f t="shared" si="6"/>
        <v>482739517</v>
      </c>
    </row>
    <row r="187" spans="1:45">
      <c r="A187" s="3" t="s">
        <v>41</v>
      </c>
      <c r="B187" s="2" t="s">
        <v>32</v>
      </c>
      <c r="C187" s="4">
        <v>6551218</v>
      </c>
      <c r="D187" s="7">
        <f>C187+1000000*new_building_eurostat!$L36</f>
        <v>9471218</v>
      </c>
      <c r="E187" s="7">
        <f>D187+1000000*new_building_eurostat!$L36</f>
        <v>12391218</v>
      </c>
      <c r="F187" s="7">
        <f>E187+1000000*new_building_eurostat!$L36</f>
        <v>15311218</v>
      </c>
      <c r="G187" s="7">
        <f>F187+1000000*new_building_eurostat!$L36</f>
        <v>18231218</v>
      </c>
      <c r="H187" s="7">
        <f>G187+1000000*new_building_eurostat!$L36</f>
        <v>21151218</v>
      </c>
      <c r="I187" s="7">
        <f>H187+1000000*new_building_eurostat!$L36</f>
        <v>24071218</v>
      </c>
      <c r="J187" s="7">
        <f>I187+1000000*new_building_eurostat!$L36</f>
        <v>26991218</v>
      </c>
      <c r="K187" s="7">
        <f>J187+1000000*new_building_eurostat!$L36</f>
        <v>29911218</v>
      </c>
      <c r="L187" s="7">
        <f>K187+1000000*new_building_eurostat!$L36</f>
        <v>32831218</v>
      </c>
      <c r="M187" s="7">
        <f>L187+1000000*new_building_eurostat!$L36</f>
        <v>35751218</v>
      </c>
      <c r="N187" s="7">
        <f>M187+1000000*new_building_eurostat!$L36</f>
        <v>38671218</v>
      </c>
      <c r="O187" s="7">
        <f>N187+1000000*new_building_eurostat!$L36</f>
        <v>41591218</v>
      </c>
      <c r="P187" s="7">
        <f>O187+1000000*new_building_eurostat!$L36</f>
        <v>44511218</v>
      </c>
      <c r="Q187" s="7">
        <f>P187+1000000*new_building_eurostat!$L36</f>
        <v>47431218</v>
      </c>
      <c r="R187" s="7">
        <f>Q187+1000000*new_building_eurostat!$L36</f>
        <v>50351218</v>
      </c>
      <c r="S187" s="7">
        <f>R187+1000000*new_building_eurostat!$L36</f>
        <v>53271218</v>
      </c>
      <c r="T187" s="7">
        <f>S187+1000000*new_building_eurostat!$L36</f>
        <v>56191218</v>
      </c>
      <c r="U187" s="7">
        <f>T187+1000000*new_building_eurostat!$L36</f>
        <v>59111218</v>
      </c>
      <c r="V187" s="7">
        <f>U187+1000000*new_building_eurostat!$L36</f>
        <v>62031218</v>
      </c>
      <c r="W187" s="7">
        <f>V187+1000000*new_building_eurostat!$L36</f>
        <v>64951218</v>
      </c>
      <c r="X187" s="7">
        <f>W187+1000000*new_building_eurostat!$L36</f>
        <v>67871218</v>
      </c>
      <c r="Y187" s="7">
        <f>X187+1000000*new_building_eurostat!$L36</f>
        <v>70791218</v>
      </c>
      <c r="Z187" s="7">
        <f>Y187+1000000*new_building_eurostat!$L36</f>
        <v>73711218</v>
      </c>
      <c r="AA187" s="7">
        <f>Z187+1000000*new_building_eurostat!$L36</f>
        <v>76631218</v>
      </c>
      <c r="AB187" s="7">
        <f>AA187+1000000*new_building_eurostat!$L36</f>
        <v>79551218</v>
      </c>
      <c r="AC187" s="7">
        <f>AB187+1000000*new_building_eurostat!$L36</f>
        <v>82471218</v>
      </c>
      <c r="AD187" s="7">
        <f>AC187+1000000*new_building_eurostat!$L36</f>
        <v>85391218</v>
      </c>
      <c r="AE187" s="7">
        <f>AD187+1000000*new_building_eurostat!$L36</f>
        <v>88311218</v>
      </c>
      <c r="AF187" s="7">
        <f>AE187+1000000*new_building_eurostat!$L36</f>
        <v>91231218</v>
      </c>
      <c r="AG187" s="7">
        <f>AF187+1000000*new_building_eurostat!$L36</f>
        <v>94151218</v>
      </c>
      <c r="AH187" s="7">
        <f>AG187+1000000*new_building_eurostat!$L36</f>
        <v>97071218</v>
      </c>
      <c r="AI187" s="7">
        <f>AH187+1000000*new_building_eurostat!$L36</f>
        <v>99991218</v>
      </c>
      <c r="AJ187" s="7">
        <f>AI187+1000000*new_building_eurostat!$L36</f>
        <v>102911218</v>
      </c>
      <c r="AK187" s="7">
        <f>AJ187+1000000*new_building_eurostat!$L36</f>
        <v>105831218</v>
      </c>
      <c r="AL187" s="7">
        <f>AK187+1000000*new_building_eurostat!$L36</f>
        <v>108751218</v>
      </c>
      <c r="AM187" s="7">
        <f>AL187+1000000*new_building_eurostat!$L36</f>
        <v>111671218</v>
      </c>
      <c r="AN187" s="7">
        <f>AM187+1000000*new_building_eurostat!$L36</f>
        <v>114591218</v>
      </c>
      <c r="AO187" s="7">
        <f>AN187+1000000*new_building_eurostat!$L36</f>
        <v>117511218</v>
      </c>
      <c r="AP187" s="7">
        <f>AO187+1000000*new_building_eurostat!$L36</f>
        <v>120431218</v>
      </c>
      <c r="AQ187" s="29">
        <f>AP187+1000000*new_building_eurostat!$L36</f>
        <v>123351218</v>
      </c>
      <c r="AS187" s="7">
        <f t="shared" si="6"/>
        <v>205073685</v>
      </c>
    </row>
    <row r="188" spans="1:45">
      <c r="A188" s="3" t="s">
        <v>41</v>
      </c>
      <c r="B188" s="2" t="s">
        <v>33</v>
      </c>
      <c r="C188" s="4">
        <v>5781046</v>
      </c>
      <c r="D188" s="7">
        <f>C188+1000000*new_building_eurostat!$L37</f>
        <v>7621046</v>
      </c>
      <c r="E188" s="7">
        <f>D188+1000000*new_building_eurostat!$L37</f>
        <v>9461046</v>
      </c>
      <c r="F188" s="7">
        <f>E188+1000000*new_building_eurostat!$L37</f>
        <v>11301046</v>
      </c>
      <c r="G188" s="7">
        <f>F188+1000000*new_building_eurostat!$L37</f>
        <v>13141046</v>
      </c>
      <c r="H188" s="7">
        <f>G188+1000000*new_building_eurostat!$L37</f>
        <v>14981046</v>
      </c>
      <c r="I188" s="7">
        <f>H188+1000000*new_building_eurostat!$L37</f>
        <v>16821046</v>
      </c>
      <c r="J188" s="7">
        <f>I188+1000000*new_building_eurostat!$L37</f>
        <v>18661046</v>
      </c>
      <c r="K188" s="7">
        <f>J188+1000000*new_building_eurostat!$L37</f>
        <v>20501046</v>
      </c>
      <c r="L188" s="7">
        <f>K188+1000000*new_building_eurostat!$L37</f>
        <v>22341046</v>
      </c>
      <c r="M188" s="7">
        <f>L188+1000000*new_building_eurostat!$L37</f>
        <v>24181046</v>
      </c>
      <c r="N188" s="7">
        <f>M188+1000000*new_building_eurostat!$L37</f>
        <v>26021046</v>
      </c>
      <c r="O188" s="7">
        <f>N188+1000000*new_building_eurostat!$L37</f>
        <v>27861046</v>
      </c>
      <c r="P188" s="7">
        <f>O188+1000000*new_building_eurostat!$L37</f>
        <v>29701046</v>
      </c>
      <c r="Q188" s="7">
        <f>P188+1000000*new_building_eurostat!$L37</f>
        <v>31541046</v>
      </c>
      <c r="R188" s="7">
        <f>Q188+1000000*new_building_eurostat!$L37</f>
        <v>33381046</v>
      </c>
      <c r="S188" s="7">
        <f>R188+1000000*new_building_eurostat!$L37</f>
        <v>35221046</v>
      </c>
      <c r="T188" s="7">
        <f>S188+1000000*new_building_eurostat!$L37</f>
        <v>37061046</v>
      </c>
      <c r="U188" s="7">
        <f>T188+1000000*new_building_eurostat!$L37</f>
        <v>38901046</v>
      </c>
      <c r="V188" s="7">
        <f>U188+1000000*new_building_eurostat!$L37</f>
        <v>40741046</v>
      </c>
      <c r="W188" s="7">
        <f>V188+1000000*new_building_eurostat!$L37</f>
        <v>42581046</v>
      </c>
      <c r="X188" s="7">
        <f>W188+1000000*new_building_eurostat!$L37</f>
        <v>44421046</v>
      </c>
      <c r="Y188" s="7">
        <f>X188+1000000*new_building_eurostat!$L37</f>
        <v>46261046</v>
      </c>
      <c r="Z188" s="7">
        <f>Y188+1000000*new_building_eurostat!$L37</f>
        <v>48101046</v>
      </c>
      <c r="AA188" s="7">
        <f>Z188+1000000*new_building_eurostat!$L37</f>
        <v>49941046</v>
      </c>
      <c r="AB188" s="7">
        <f>AA188+1000000*new_building_eurostat!$L37</f>
        <v>51781046</v>
      </c>
      <c r="AC188" s="7">
        <f>AB188+1000000*new_building_eurostat!$L37</f>
        <v>53621046</v>
      </c>
      <c r="AD188" s="7">
        <f>AC188+1000000*new_building_eurostat!$L37</f>
        <v>55461046</v>
      </c>
      <c r="AE188" s="7">
        <f>AD188+1000000*new_building_eurostat!$L37</f>
        <v>57301046</v>
      </c>
      <c r="AF188" s="7">
        <f>AE188+1000000*new_building_eurostat!$L37</f>
        <v>59141046</v>
      </c>
      <c r="AG188" s="7">
        <f>AF188+1000000*new_building_eurostat!$L37</f>
        <v>60981046</v>
      </c>
      <c r="AH188" s="7">
        <f>AG188+1000000*new_building_eurostat!$L37</f>
        <v>62821046</v>
      </c>
      <c r="AI188" s="7">
        <f>AH188+1000000*new_building_eurostat!$L37</f>
        <v>64661046</v>
      </c>
      <c r="AJ188" s="7">
        <f>AI188+1000000*new_building_eurostat!$L37</f>
        <v>66501046</v>
      </c>
      <c r="AK188" s="7">
        <f>AJ188+1000000*new_building_eurostat!$L37</f>
        <v>68341046</v>
      </c>
      <c r="AL188" s="7">
        <f>AK188+1000000*new_building_eurostat!$L37</f>
        <v>70181046</v>
      </c>
      <c r="AM188" s="7">
        <f>AL188+1000000*new_building_eurostat!$L37</f>
        <v>72021046</v>
      </c>
      <c r="AN188" s="7">
        <f>AM188+1000000*new_building_eurostat!$L37</f>
        <v>73861046</v>
      </c>
      <c r="AO188" s="7">
        <f>AN188+1000000*new_building_eurostat!$L37</f>
        <v>75701046</v>
      </c>
      <c r="AP188" s="7">
        <f>AO188+1000000*new_building_eurostat!$L37</f>
        <v>77541046</v>
      </c>
      <c r="AQ188" s="29">
        <f>AP188+1000000*new_building_eurostat!$L37</f>
        <v>79381046</v>
      </c>
      <c r="AS188" s="7">
        <f t="shared" si="6"/>
        <v>91460975</v>
      </c>
    </row>
    <row r="189" spans="1:45">
      <c r="A189" s="3" t="s">
        <v>41</v>
      </c>
      <c r="B189" s="2" t="s">
        <v>34</v>
      </c>
      <c r="C189" s="4">
        <v>381556573</v>
      </c>
      <c r="D189" s="7">
        <f>C189+1000000*new_building_eurostat!$L38</f>
        <v>410976573</v>
      </c>
      <c r="E189" s="7">
        <f>D189+1000000*new_building_eurostat!$L38</f>
        <v>440396573</v>
      </c>
      <c r="F189" s="7">
        <f>E189+1000000*new_building_eurostat!$L38</f>
        <v>469816573</v>
      </c>
      <c r="G189" s="7">
        <f>F189+1000000*new_building_eurostat!$L38</f>
        <v>499236573</v>
      </c>
      <c r="H189" s="7">
        <f>G189+1000000*new_building_eurostat!$L38</f>
        <v>528656573</v>
      </c>
      <c r="I189" s="7">
        <f>H189+1000000*new_building_eurostat!$L38</f>
        <v>558076573</v>
      </c>
      <c r="J189" s="7">
        <f>I189+1000000*new_building_eurostat!$L38</f>
        <v>587496573</v>
      </c>
      <c r="K189" s="7">
        <f>J189+1000000*new_building_eurostat!$L38</f>
        <v>616916573</v>
      </c>
      <c r="L189" s="7">
        <f>K189+1000000*new_building_eurostat!$L38</f>
        <v>646336573</v>
      </c>
      <c r="M189" s="7">
        <f>L189+1000000*new_building_eurostat!$L38</f>
        <v>675756573</v>
      </c>
      <c r="N189" s="7">
        <f>M189+1000000*new_building_eurostat!$L38</f>
        <v>705176573</v>
      </c>
      <c r="O189" s="7">
        <f>N189+1000000*new_building_eurostat!$L38</f>
        <v>734596573</v>
      </c>
      <c r="P189" s="7">
        <f>O189+1000000*new_building_eurostat!$L38</f>
        <v>764016573</v>
      </c>
      <c r="Q189" s="7">
        <f>P189+1000000*new_building_eurostat!$L38</f>
        <v>793436573</v>
      </c>
      <c r="R189" s="7">
        <f>Q189+1000000*new_building_eurostat!$L38</f>
        <v>822856573</v>
      </c>
      <c r="S189" s="7">
        <f>R189+1000000*new_building_eurostat!$L38</f>
        <v>852276573</v>
      </c>
      <c r="T189" s="7">
        <f>S189+1000000*new_building_eurostat!$L38</f>
        <v>881696573</v>
      </c>
      <c r="U189" s="7">
        <f>T189+1000000*new_building_eurostat!$L38</f>
        <v>911116573</v>
      </c>
      <c r="V189" s="7">
        <f>U189+1000000*new_building_eurostat!$L38</f>
        <v>940536573</v>
      </c>
      <c r="W189" s="7">
        <f>V189+1000000*new_building_eurostat!$L38</f>
        <v>969956573</v>
      </c>
      <c r="X189" s="7">
        <f>W189+1000000*new_building_eurostat!$L38</f>
        <v>999376573</v>
      </c>
      <c r="Y189" s="7">
        <f>X189+1000000*new_building_eurostat!$L38</f>
        <v>1028796573</v>
      </c>
      <c r="Z189" s="7">
        <f>Y189+1000000*new_building_eurostat!$L38</f>
        <v>1058216573</v>
      </c>
      <c r="AA189" s="7">
        <f>Z189+1000000*new_building_eurostat!$L38</f>
        <v>1087636573</v>
      </c>
      <c r="AB189" s="7">
        <f>AA189+1000000*new_building_eurostat!$L38</f>
        <v>1117056573</v>
      </c>
      <c r="AC189" s="7">
        <f>AB189+1000000*new_building_eurostat!$L38</f>
        <v>1146476573</v>
      </c>
      <c r="AD189" s="7">
        <f>AC189+1000000*new_building_eurostat!$L38</f>
        <v>1175896573</v>
      </c>
      <c r="AE189" s="7">
        <f>AD189+1000000*new_building_eurostat!$L38</f>
        <v>1205316573</v>
      </c>
      <c r="AF189" s="7">
        <f>AE189+1000000*new_building_eurostat!$L38</f>
        <v>1234736573</v>
      </c>
      <c r="AG189" s="7">
        <f>AF189+1000000*new_building_eurostat!$L38</f>
        <v>1264156573</v>
      </c>
      <c r="AH189" s="7">
        <f>AG189+1000000*new_building_eurostat!$L38</f>
        <v>1293576573</v>
      </c>
      <c r="AI189" s="7">
        <f>AH189+1000000*new_building_eurostat!$L38</f>
        <v>1322996573</v>
      </c>
      <c r="AJ189" s="7">
        <f>AI189+1000000*new_building_eurostat!$L38</f>
        <v>1352416573</v>
      </c>
      <c r="AK189" s="7">
        <f>AJ189+1000000*new_building_eurostat!$L38</f>
        <v>1381836573</v>
      </c>
      <c r="AL189" s="7">
        <f>AK189+1000000*new_building_eurostat!$L38</f>
        <v>1411256573</v>
      </c>
      <c r="AM189" s="7">
        <f>AL189+1000000*new_building_eurostat!$L38</f>
        <v>1440676573</v>
      </c>
      <c r="AN189" s="7">
        <f>AM189+1000000*new_building_eurostat!$L38</f>
        <v>1470096573</v>
      </c>
      <c r="AO189" s="7">
        <f>AN189+1000000*new_building_eurostat!$L38</f>
        <v>1499516573</v>
      </c>
      <c r="AP189" s="7">
        <f>AO189+1000000*new_building_eurostat!$L38</f>
        <v>1528936573</v>
      </c>
      <c r="AQ189" s="29">
        <f>AP189+1000000*new_building_eurostat!$L38</f>
        <v>1558356573</v>
      </c>
      <c r="AS189" s="7">
        <f t="shared" si="6"/>
        <v>5939200420</v>
      </c>
    </row>
    <row r="190" spans="1:45">
      <c r="A190" s="3" t="s">
        <v>41</v>
      </c>
      <c r="B190" s="2" t="s">
        <v>35</v>
      </c>
      <c r="C190" s="4">
        <v>59643038</v>
      </c>
      <c r="D190" s="7">
        <f>C190+1000000*new_building_eurostat!$L39</f>
        <v>69763038</v>
      </c>
      <c r="E190" s="7">
        <f>D190+1000000*new_building_eurostat!$L39</f>
        <v>79883038</v>
      </c>
      <c r="F190" s="7">
        <f>E190+1000000*new_building_eurostat!$L39</f>
        <v>90003038</v>
      </c>
      <c r="G190" s="7">
        <f>F190+1000000*new_building_eurostat!$L39</f>
        <v>100123038</v>
      </c>
      <c r="H190" s="7">
        <f>G190+1000000*new_building_eurostat!$L39</f>
        <v>110243038</v>
      </c>
      <c r="I190" s="7">
        <f>H190+1000000*new_building_eurostat!$L39</f>
        <v>120363038</v>
      </c>
      <c r="J190" s="7">
        <f>I190+1000000*new_building_eurostat!$L39</f>
        <v>130483038</v>
      </c>
      <c r="K190" s="7">
        <f>J190+1000000*new_building_eurostat!$L39</f>
        <v>140603038</v>
      </c>
      <c r="L190" s="7">
        <f>K190+1000000*new_building_eurostat!$L39</f>
        <v>150723038</v>
      </c>
      <c r="M190" s="7">
        <f>L190+1000000*new_building_eurostat!$L39</f>
        <v>160843038</v>
      </c>
      <c r="N190" s="7">
        <f>M190+1000000*new_building_eurostat!$L39</f>
        <v>170963038</v>
      </c>
      <c r="O190" s="7">
        <f>N190+1000000*new_building_eurostat!$L39</f>
        <v>181083038</v>
      </c>
      <c r="P190" s="7">
        <f>O190+1000000*new_building_eurostat!$L39</f>
        <v>191203038</v>
      </c>
      <c r="Q190" s="7">
        <f>P190+1000000*new_building_eurostat!$L39</f>
        <v>201323038</v>
      </c>
      <c r="R190" s="7">
        <f>Q190+1000000*new_building_eurostat!$L39</f>
        <v>211443038</v>
      </c>
      <c r="S190" s="7">
        <f>R190+1000000*new_building_eurostat!$L39</f>
        <v>221563038</v>
      </c>
      <c r="T190" s="7">
        <f>S190+1000000*new_building_eurostat!$L39</f>
        <v>231683038</v>
      </c>
      <c r="U190" s="7">
        <f>T190+1000000*new_building_eurostat!$L39</f>
        <v>241803038</v>
      </c>
      <c r="V190" s="7">
        <f>U190+1000000*new_building_eurostat!$L39</f>
        <v>251923038</v>
      </c>
      <c r="W190" s="7">
        <f>V190+1000000*new_building_eurostat!$L39</f>
        <v>262043038</v>
      </c>
      <c r="X190" s="7">
        <f>W190+1000000*new_building_eurostat!$L39</f>
        <v>272163038</v>
      </c>
      <c r="Y190" s="7">
        <f>X190+1000000*new_building_eurostat!$L39</f>
        <v>282283038</v>
      </c>
      <c r="Z190" s="7">
        <f>Y190+1000000*new_building_eurostat!$L39</f>
        <v>292403038</v>
      </c>
      <c r="AA190" s="7">
        <f>Z190+1000000*new_building_eurostat!$L39</f>
        <v>302523038</v>
      </c>
      <c r="AB190" s="7">
        <f>AA190+1000000*new_building_eurostat!$L39</f>
        <v>312643038</v>
      </c>
      <c r="AC190" s="7">
        <f>AB190+1000000*new_building_eurostat!$L39</f>
        <v>322763038</v>
      </c>
      <c r="AD190" s="7">
        <f>AC190+1000000*new_building_eurostat!$L39</f>
        <v>332883038</v>
      </c>
      <c r="AE190" s="7">
        <f>AD190+1000000*new_building_eurostat!$L39</f>
        <v>343003038</v>
      </c>
      <c r="AF190" s="7">
        <f>AE190+1000000*new_building_eurostat!$L39</f>
        <v>353123038</v>
      </c>
      <c r="AG190" s="7">
        <f>AF190+1000000*new_building_eurostat!$L39</f>
        <v>363243038</v>
      </c>
      <c r="AH190" s="7">
        <f>AG190+1000000*new_building_eurostat!$L39</f>
        <v>373363038</v>
      </c>
      <c r="AI190" s="7">
        <f>AH190+1000000*new_building_eurostat!$L39</f>
        <v>383483038</v>
      </c>
      <c r="AJ190" s="7">
        <f>AI190+1000000*new_building_eurostat!$L39</f>
        <v>393603038</v>
      </c>
      <c r="AK190" s="7">
        <f>AJ190+1000000*new_building_eurostat!$L39</f>
        <v>403723038</v>
      </c>
      <c r="AL190" s="7">
        <f>AK190+1000000*new_building_eurostat!$L39</f>
        <v>413843038</v>
      </c>
      <c r="AM190" s="7">
        <f>AL190+1000000*new_building_eurostat!$L39</f>
        <v>423963038</v>
      </c>
      <c r="AN190" s="7">
        <f>AM190+1000000*new_building_eurostat!$L39</f>
        <v>434083038</v>
      </c>
      <c r="AO190" s="7">
        <f>AN190+1000000*new_building_eurostat!$L39</f>
        <v>444203038</v>
      </c>
      <c r="AP190" s="7">
        <f>AO190+1000000*new_building_eurostat!$L39</f>
        <v>454323038</v>
      </c>
      <c r="AQ190" s="29">
        <f>AP190+1000000*new_building_eurostat!$L39</f>
        <v>464443038</v>
      </c>
      <c r="AS190" s="7">
        <f t="shared" si="6"/>
        <v>670289173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Documentation</vt:lpstr>
      <vt:lpstr>BSO data</vt:lpstr>
      <vt:lpstr>heat_spec_distribution</vt:lpstr>
      <vt:lpstr>heat_demand_by_country_TWh</vt:lpstr>
      <vt:lpstr>elect_demand_heating_TWh</vt:lpstr>
      <vt:lpstr>elec_Demand_HP_TWh</vt:lpstr>
      <vt:lpstr>new_building_eurostat</vt:lpstr>
      <vt:lpstr>useful_area_m2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TU-Pseudonym 17281442811011116638102512442</cp:lastModifiedBy>
  <dcterms:modified xsi:type="dcterms:W3CDTF">2026-06-19T08:40:58Z</dcterms:modified>
</cp:coreProperties>
</file>